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-120" yWindow="-120" windowWidth="29040" windowHeight="15840" activeTab="1"/>
  </bookViews>
  <sheets>
    <sheet name="Hoja1" sheetId="5" r:id="rId2"/>
    <sheet name="Accounts" sheetId="1" r:id="rId3"/>
    <sheet name="List" sheetId="2" r:id="rId4"/>
    <sheet name="PUC" sheetId="4" r:id="rId5"/>
  </sheets>
  <definedNames>
    <definedName name="_xlnm._FilterDatabase" localSheetId="1" hidden="1">Accounts!$A$1:$R$446</definedName>
  </definedNames>
  <calcPr calcId="191029"/>
  <pivotCaches>
    <pivotCache cacheId="3" r:id="rId1"/>
  </pivotCaches>
</workbook>
</file>

<file path=xl/sharedStrings.xml><?xml version="1.0" encoding="utf-8"?>
<sst xmlns="http://schemas.openxmlformats.org/spreadsheetml/2006/main" count="1453" uniqueCount="1453">
  <si>
    <t xml:space="preserve">Cuentas contables</t>
  </si>
  <si>
    <t xml:space="preserve">MAS CONSULTA SAS</t>
  </si>
  <si>
    <t>901271750-</t>
  </si>
  <si>
    <t>Código</t>
  </si>
  <si>
    <t>Nombre</t>
  </si>
  <si>
    <t>Categoría</t>
  </si>
  <si>
    <t>Clase</t>
  </si>
  <si>
    <t xml:space="preserve">Relación con</t>
  </si>
  <si>
    <t xml:space="preserve">Maneja vencimientos</t>
  </si>
  <si>
    <t xml:space="preserve">Diferencia fiscal</t>
  </si>
  <si>
    <t>Activo</t>
  </si>
  <si>
    <t xml:space="preserve">Nivel agrupación</t>
  </si>
  <si>
    <t>1</t>
  </si>
  <si>
    <t>11</t>
  </si>
  <si>
    <t xml:space="preserve">Efectivo y equivalentes de efectivo</t>
  </si>
  <si>
    <t>1105</t>
  </si>
  <si>
    <t>Caja</t>
  </si>
  <si>
    <t>110505</t>
  </si>
  <si>
    <t xml:space="preserve">Caja general</t>
  </si>
  <si>
    <t>11050501</t>
  </si>
  <si>
    <t xml:space="preserve">Caja - Bancos</t>
  </si>
  <si>
    <t xml:space="preserve">Sin asignar</t>
  </si>
  <si>
    <t xml:space="preserve">No maneja vencimiento</t>
  </si>
  <si>
    <t>No</t>
  </si>
  <si>
    <t>Sí</t>
  </si>
  <si>
    <t>Transaccional</t>
  </si>
  <si>
    <t>110510</t>
  </si>
  <si>
    <t xml:space="preserve">Cajas menores</t>
  </si>
  <si>
    <t>11051001</t>
  </si>
  <si>
    <t>11051002</t>
  </si>
  <si>
    <t xml:space="preserve">Caja Menor Admon</t>
  </si>
  <si>
    <t>1110</t>
  </si>
  <si>
    <t>Bancos</t>
  </si>
  <si>
    <t>111005</t>
  </si>
  <si>
    <t xml:space="preserve">Moneda nacional</t>
  </si>
  <si>
    <t>11100501</t>
  </si>
  <si>
    <t>11100502</t>
  </si>
  <si>
    <t xml:space="preserve">Pagos en línea</t>
  </si>
  <si>
    <t xml:space="preserve">Formas de pago</t>
  </si>
  <si>
    <t>11100503</t>
  </si>
  <si>
    <t xml:space="preserve">Pagos en línea Mercado Pago</t>
  </si>
  <si>
    <t>1120</t>
  </si>
  <si>
    <t xml:space="preserve">Cuentas de ahorro</t>
  </si>
  <si>
    <t>112005</t>
  </si>
  <si>
    <t>11200501</t>
  </si>
  <si>
    <t xml:space="preserve">BANCOLOMBIA CUENTA AHORROS 206-000311-48          </t>
  </si>
  <si>
    <t>11200502</t>
  </si>
  <si>
    <t xml:space="preserve">CAJA SOCIAL CUENTA AHORROS 24097494078            </t>
  </si>
  <si>
    <t>1145</t>
  </si>
  <si>
    <t xml:space="preserve">Inversiones en efectivo</t>
  </si>
  <si>
    <t>114505</t>
  </si>
  <si>
    <t>Fiducias</t>
  </si>
  <si>
    <t>11450501</t>
  </si>
  <si>
    <t>11450597</t>
  </si>
  <si>
    <t xml:space="preserve">D. fiscal fiducias</t>
  </si>
  <si>
    <t>12</t>
  </si>
  <si>
    <t xml:space="preserve">Inversiones en asociadas</t>
  </si>
  <si>
    <t>1205</t>
  </si>
  <si>
    <t>Acciones</t>
  </si>
  <si>
    <t>120535</t>
  </si>
  <si>
    <t xml:space="preserve">Comercio al por mayor y al por menor</t>
  </si>
  <si>
    <t>12053501</t>
  </si>
  <si>
    <t xml:space="preserve">Otros activos</t>
  </si>
  <si>
    <t>12053502</t>
  </si>
  <si>
    <t xml:space="preserve">Reajuste fiscal</t>
  </si>
  <si>
    <t>12053503</t>
  </si>
  <si>
    <t xml:space="preserve">Método de participación</t>
  </si>
  <si>
    <t>1295</t>
  </si>
  <si>
    <t xml:space="preserve">Acciones o derechos en clubes deportivos</t>
  </si>
  <si>
    <t>129515</t>
  </si>
  <si>
    <t>12951501</t>
  </si>
  <si>
    <t>129595</t>
  </si>
  <si>
    <t xml:space="preserve">Otras inversiones</t>
  </si>
  <si>
    <t>12959501</t>
  </si>
  <si>
    <t>13</t>
  </si>
  <si>
    <t xml:space="preserve">Deudores comerciales y otras cuentas por cobrar</t>
  </si>
  <si>
    <t>1305</t>
  </si>
  <si>
    <t xml:space="preserve">Clientes nacionales</t>
  </si>
  <si>
    <t>130505</t>
  </si>
  <si>
    <t>13050501</t>
  </si>
  <si>
    <t xml:space="preserve">Cuentas por cobrar</t>
  </si>
  <si>
    <t xml:space="preserve">Con vencimiento en cartera</t>
  </si>
  <si>
    <t>130510</t>
  </si>
  <si>
    <t xml:space="preserve">Clientes del exterior</t>
  </si>
  <si>
    <t>13051001</t>
  </si>
  <si>
    <t>1325</t>
  </si>
  <si>
    <t xml:space="preserve">Cuentas por cobrar a socios y accionistas</t>
  </si>
  <si>
    <t>132510</t>
  </si>
  <si>
    <t xml:space="preserve">A accionistas</t>
  </si>
  <si>
    <t>13251001</t>
  </si>
  <si>
    <t>1330</t>
  </si>
  <si>
    <t xml:space="preserve">Anticipos y avances</t>
  </si>
  <si>
    <t>133005</t>
  </si>
  <si>
    <t xml:space="preserve">A proveedores</t>
  </si>
  <si>
    <t>13300501</t>
  </si>
  <si>
    <t xml:space="preserve">Con vencimiento en proveedores</t>
  </si>
  <si>
    <t>13300597</t>
  </si>
  <si>
    <t xml:space="preserve">D. fiscal a proveedores</t>
  </si>
  <si>
    <t>133010</t>
  </si>
  <si>
    <t xml:space="preserve">A contratistas</t>
  </si>
  <si>
    <t>13301001</t>
  </si>
  <si>
    <t>13301097</t>
  </si>
  <si>
    <t xml:space="preserve">D. fiscal a contratistas</t>
  </si>
  <si>
    <t>133015</t>
  </si>
  <si>
    <t xml:space="preserve">A trabajadores</t>
  </si>
  <si>
    <t>13301501</t>
  </si>
  <si>
    <t>Eventos</t>
  </si>
  <si>
    <t>13301502</t>
  </si>
  <si>
    <t>Otros</t>
  </si>
  <si>
    <t>13301597</t>
  </si>
  <si>
    <t xml:space="preserve">D. fiscal anticipos a trabajadores</t>
  </si>
  <si>
    <t>133095</t>
  </si>
  <si>
    <t>13309501</t>
  </si>
  <si>
    <t>1355</t>
  </si>
  <si>
    <t xml:space="preserve">Anticipo de impuestos y contribuciones o</t>
  </si>
  <si>
    <t>135510</t>
  </si>
  <si>
    <t xml:space="preserve">Anticipo de impuestos de industria y com.</t>
  </si>
  <si>
    <t>13551001</t>
  </si>
  <si>
    <t>135515</t>
  </si>
  <si>
    <t xml:space="preserve">Anticipo Retención en la fuente</t>
  </si>
  <si>
    <t>13551501</t>
  </si>
  <si>
    <t xml:space="preserve">Anticipo Retención en la fuente 2,5%</t>
  </si>
  <si>
    <t xml:space="preserve">Impuestos - Ventas</t>
  </si>
  <si>
    <t>13551502</t>
  </si>
  <si>
    <t xml:space="preserve">Devolución Retención en la fuente 2,5%</t>
  </si>
  <si>
    <t xml:space="preserve">Impuestos - Devolución ventas</t>
  </si>
  <si>
    <t>13551503</t>
  </si>
  <si>
    <t xml:space="preserve">Anticipo Retención en la fuente 4%</t>
  </si>
  <si>
    <t>13551504</t>
  </si>
  <si>
    <t xml:space="preserve">Devolución Retención en la fuente 4%</t>
  </si>
  <si>
    <t>13551505</t>
  </si>
  <si>
    <t xml:space="preserve">Anticipo Retención en la fuente 6%</t>
  </si>
  <si>
    <t>13551506</t>
  </si>
  <si>
    <t xml:space="preserve">Devolución retención en la fuente 6%</t>
  </si>
  <si>
    <t>13551507</t>
  </si>
  <si>
    <t xml:space="preserve">Anticipo Retención en la fuente 10%</t>
  </si>
  <si>
    <t>13551508</t>
  </si>
  <si>
    <t xml:space="preserve">Devolución Retención en la fuente 10%</t>
  </si>
  <si>
    <t>13551509</t>
  </si>
  <si>
    <t xml:space="preserve">Anticipo Retención en la fuente 11%</t>
  </si>
  <si>
    <t>13551510</t>
  </si>
  <si>
    <t xml:space="preserve">Devolución en ventas Retefuente 11%</t>
  </si>
  <si>
    <t>13551511</t>
  </si>
  <si>
    <t xml:space="preserve">Anticipo Retención en la fuente 7%</t>
  </si>
  <si>
    <t>13551512</t>
  </si>
  <si>
    <t xml:space="preserve">Devolución Retención en la fuente 7%</t>
  </si>
  <si>
    <t>13551513</t>
  </si>
  <si>
    <t xml:space="preserve">Anticipo Retención en la fuente 3,5%</t>
  </si>
  <si>
    <t>13551514</t>
  </si>
  <si>
    <t xml:space="preserve">Devolución Retención en la fuente 3,5%</t>
  </si>
  <si>
    <t>13551515</t>
  </si>
  <si>
    <t xml:space="preserve">Anticipo Retención en la fuente 2%</t>
  </si>
  <si>
    <t>13551516</t>
  </si>
  <si>
    <t xml:space="preserve">Devolución Retención en la fuente 2%</t>
  </si>
  <si>
    <t>13551517</t>
  </si>
  <si>
    <t xml:space="preserve">Anticipo Retención en la fuente 1%</t>
  </si>
  <si>
    <t>13551518</t>
  </si>
  <si>
    <t xml:space="preserve">Devolución Retención en la fuente 1%</t>
  </si>
  <si>
    <t>135517</t>
  </si>
  <si>
    <t xml:space="preserve">Impuesto a las ventas retenido</t>
  </si>
  <si>
    <t>13551701</t>
  </si>
  <si>
    <t xml:space="preserve">Impuesto a las ventas retenido 15%</t>
  </si>
  <si>
    <t>13551702</t>
  </si>
  <si>
    <t xml:space="preserve">Devolución impuesto a las ventas retenido 15%</t>
  </si>
  <si>
    <t>135518</t>
  </si>
  <si>
    <t xml:space="preserve">Impuesto de industria y comercio retenido</t>
  </si>
  <si>
    <t>13551801</t>
  </si>
  <si>
    <t xml:space="preserve">Rete Ica 11,04</t>
  </si>
  <si>
    <t>13551802</t>
  </si>
  <si>
    <t xml:space="preserve">Devolución Rete Ica 11,04</t>
  </si>
  <si>
    <t>13551803</t>
  </si>
  <si>
    <t xml:space="preserve">Rete Ica 13,08</t>
  </si>
  <si>
    <t>13551804</t>
  </si>
  <si>
    <t xml:space="preserve">Devolución Rete Ica 13,08</t>
  </si>
  <si>
    <t>13551805</t>
  </si>
  <si>
    <t xml:space="preserve">Rete Ica 9,66</t>
  </si>
  <si>
    <t>13551806</t>
  </si>
  <si>
    <t xml:space="preserve">Devolución Rete Ica 9,66</t>
  </si>
  <si>
    <t>13551807</t>
  </si>
  <si>
    <t xml:space="preserve">Rete Ica 8</t>
  </si>
  <si>
    <t>13551808</t>
  </si>
  <si>
    <t xml:space="preserve">Devolución Rete Ica 8</t>
  </si>
  <si>
    <t>13551809</t>
  </si>
  <si>
    <t xml:space="preserve">Rete Ica 7</t>
  </si>
  <si>
    <t>13551810</t>
  </si>
  <si>
    <t xml:space="preserve">Devolución Rete Ica 7</t>
  </si>
  <si>
    <t>13551811</t>
  </si>
  <si>
    <t xml:space="preserve">Rete Ica 6.9</t>
  </si>
  <si>
    <t>13551812</t>
  </si>
  <si>
    <t xml:space="preserve">Devolución Rete Ica 6.9</t>
  </si>
  <si>
    <t>13551813</t>
  </si>
  <si>
    <t xml:space="preserve">Rete Ica 4</t>
  </si>
  <si>
    <t>13551814</t>
  </si>
  <si>
    <t xml:space="preserve">Devolución Rete Ica 4</t>
  </si>
  <si>
    <t>13551815</t>
  </si>
  <si>
    <t>13551816</t>
  </si>
  <si>
    <t xml:space="preserve">Autorretencion impuesto de industria y comercio</t>
  </si>
  <si>
    <t>13551817</t>
  </si>
  <si>
    <t xml:space="preserve">Autorretencion avisos y tableros</t>
  </si>
  <si>
    <t>13551818</t>
  </si>
  <si>
    <t xml:space="preserve">Anticipo de impuesto de industria y comercio</t>
  </si>
  <si>
    <t>135519</t>
  </si>
  <si>
    <t xml:space="preserve">RST REGIMEN SIMPLE DE TRIBUTACION</t>
  </si>
  <si>
    <t>13551901</t>
  </si>
  <si>
    <t xml:space="preserve">ANTICIPO -2593- RST REGIMEN SIMPLE TRIBUTACION    </t>
  </si>
  <si>
    <t xml:space="preserve">Otros activos corrientes</t>
  </si>
  <si>
    <t>13551902</t>
  </si>
  <si>
    <t xml:space="preserve">DECLARACION ANUAL RST REGIMEN SIMPLE TRIBUTACION  </t>
  </si>
  <si>
    <t>1365</t>
  </si>
  <si>
    <t xml:space="preserve">Cuentas por cobrar a trabajadores</t>
  </si>
  <si>
    <t>136515</t>
  </si>
  <si>
    <t>Educación</t>
  </si>
  <si>
    <t>13651501</t>
  </si>
  <si>
    <t>136525</t>
  </si>
  <si>
    <t xml:space="preserve">Calamidad domestica</t>
  </si>
  <si>
    <t>13652501</t>
  </si>
  <si>
    <t>1380</t>
  </si>
  <si>
    <t xml:space="preserve">Deudores varios</t>
  </si>
  <si>
    <t>138095</t>
  </si>
  <si>
    <t>13809501</t>
  </si>
  <si>
    <t>Incapacidades</t>
  </si>
  <si>
    <t>13809502</t>
  </si>
  <si>
    <t xml:space="preserve">Otros deudores</t>
  </si>
  <si>
    <t>1399</t>
  </si>
  <si>
    <t>Provisiones</t>
  </si>
  <si>
    <t>139905</t>
  </si>
  <si>
    <t>Clientes</t>
  </si>
  <si>
    <t>13990501</t>
  </si>
  <si>
    <t>13990597</t>
  </si>
  <si>
    <t xml:space="preserve">D. fiscal clientes</t>
  </si>
  <si>
    <t>14</t>
  </si>
  <si>
    <t>Inventarios</t>
  </si>
  <si>
    <t>1435</t>
  </si>
  <si>
    <t xml:space="preserve">Mercancías no fabricadas por la empresa</t>
  </si>
  <si>
    <t>143501</t>
  </si>
  <si>
    <t xml:space="preserve">Mercancías no fabricadas</t>
  </si>
  <si>
    <t>14350101</t>
  </si>
  <si>
    <t>1498</t>
  </si>
  <si>
    <t>149801</t>
  </si>
  <si>
    <t>14980101</t>
  </si>
  <si>
    <t>15</t>
  </si>
  <si>
    <t xml:space="preserve">Propiedad planta y equipo</t>
  </si>
  <si>
    <t>1504</t>
  </si>
  <si>
    <t>Terrenos</t>
  </si>
  <si>
    <t>150405</t>
  </si>
  <si>
    <t>Urbanos</t>
  </si>
  <si>
    <t>15040505</t>
  </si>
  <si>
    <t xml:space="preserve">Activos fijos</t>
  </si>
  <si>
    <t>15040597</t>
  </si>
  <si>
    <t xml:space="preserve">D. fiscal revaluación urbanos</t>
  </si>
  <si>
    <t>1516</t>
  </si>
  <si>
    <t xml:space="preserve">Construcciones y edificaciones</t>
  </si>
  <si>
    <t>151605</t>
  </si>
  <si>
    <t>Edificios</t>
  </si>
  <si>
    <t>15160501</t>
  </si>
  <si>
    <t>15160597</t>
  </si>
  <si>
    <t xml:space="preserve">D. fiscal edificios</t>
  </si>
  <si>
    <t>151610</t>
  </si>
  <si>
    <t>15161001</t>
  </si>
  <si>
    <t>Oficinas</t>
  </si>
  <si>
    <t>15161097</t>
  </si>
  <si>
    <t xml:space="preserve">D. fiscal revaluación construcciones</t>
  </si>
  <si>
    <t>1524</t>
  </si>
  <si>
    <t xml:space="preserve">Equipo de oficina</t>
  </si>
  <si>
    <t>152405</t>
  </si>
  <si>
    <t xml:space="preserve">Muebles y enseres</t>
  </si>
  <si>
    <t>15240501</t>
  </si>
  <si>
    <t xml:space="preserve">Grupo de activo fijo - Valor de compra</t>
  </si>
  <si>
    <t>15240597</t>
  </si>
  <si>
    <t xml:space="preserve">D. fiscal muebles y enseres</t>
  </si>
  <si>
    <t>152410</t>
  </si>
  <si>
    <t>Equipos</t>
  </si>
  <si>
    <t>15241001</t>
  </si>
  <si>
    <t>15241097</t>
  </si>
  <si>
    <t xml:space="preserve">D. fiscal equipos</t>
  </si>
  <si>
    <t>1528</t>
  </si>
  <si>
    <t xml:space="preserve">Equipo de computación y comunicación</t>
  </si>
  <si>
    <t>152805</t>
  </si>
  <si>
    <t xml:space="preserve">Equipos de procesamiento de datos</t>
  </si>
  <si>
    <t>15280501</t>
  </si>
  <si>
    <t>15280597</t>
  </si>
  <si>
    <t xml:space="preserve">D. fiscal equipos de procesamiento de datos</t>
  </si>
  <si>
    <t>1540</t>
  </si>
  <si>
    <t xml:space="preserve">Flota y equipo de transporte</t>
  </si>
  <si>
    <t>154005</t>
  </si>
  <si>
    <t xml:space="preserve">Vehículos </t>
  </si>
  <si>
    <t>15400501</t>
  </si>
  <si>
    <t>15400597</t>
  </si>
  <si>
    <t xml:space="preserve">D. fiscal vehículos </t>
  </si>
  <si>
    <t>1592</t>
  </si>
  <si>
    <t xml:space="preserve">Depreciación acumulada</t>
  </si>
  <si>
    <t>159205</t>
  </si>
  <si>
    <t>15920501</t>
  </si>
  <si>
    <t>15920597</t>
  </si>
  <si>
    <t xml:space="preserve">D. fiscal valor de salvamento construcciones</t>
  </si>
  <si>
    <t>159215</t>
  </si>
  <si>
    <t>15921501</t>
  </si>
  <si>
    <t xml:space="preserve">Grupo de activo fijo - Depreciación</t>
  </si>
  <si>
    <t>15921597</t>
  </si>
  <si>
    <t xml:space="preserve">D. fiscal equipo de oficina</t>
  </si>
  <si>
    <t xml:space="preserve">Grupo de activo fijo - Depreciación NIIF</t>
  </si>
  <si>
    <t>159220</t>
  </si>
  <si>
    <t>15922001</t>
  </si>
  <si>
    <t>15922097</t>
  </si>
  <si>
    <t xml:space="preserve">D. fiscal equipo de computación y comunicación</t>
  </si>
  <si>
    <t>159235</t>
  </si>
  <si>
    <t>15923501</t>
  </si>
  <si>
    <t>15923597</t>
  </si>
  <si>
    <t xml:space="preserve">D. fiscal depreciación flota</t>
  </si>
  <si>
    <t>16</t>
  </si>
  <si>
    <t>Intangibles</t>
  </si>
  <si>
    <t>1635</t>
  </si>
  <si>
    <t>Licencias</t>
  </si>
  <si>
    <t>163501</t>
  </si>
  <si>
    <t xml:space="preserve">Derecho de uso</t>
  </si>
  <si>
    <t>16350101</t>
  </si>
  <si>
    <t>16350197</t>
  </si>
  <si>
    <t xml:space="preserve">D. fiscal derecho de uso</t>
  </si>
  <si>
    <t>163515</t>
  </si>
  <si>
    <t xml:space="preserve">Marca adquirida</t>
  </si>
  <si>
    <t>16351501</t>
  </si>
  <si>
    <t>16351597</t>
  </si>
  <si>
    <t xml:space="preserve">D. fiscal marca adquirida</t>
  </si>
  <si>
    <t>17</t>
  </si>
  <si>
    <t xml:space="preserve">Otros activos no financieros</t>
  </si>
  <si>
    <t>1720</t>
  </si>
  <si>
    <t xml:space="preserve">Entidades controladas en forma conjunta</t>
  </si>
  <si>
    <t>172020</t>
  </si>
  <si>
    <t xml:space="preserve">Negocios conjuntos</t>
  </si>
  <si>
    <t>17202001</t>
  </si>
  <si>
    <t>18</t>
  </si>
  <si>
    <t xml:space="preserve">Impuesto a las ganancias</t>
  </si>
  <si>
    <t>1805</t>
  </si>
  <si>
    <t xml:space="preserve">Impuesto corriente</t>
  </si>
  <si>
    <t>180505</t>
  </si>
  <si>
    <t xml:space="preserve">Renta y complementarios</t>
  </si>
  <si>
    <t>18050501</t>
  </si>
  <si>
    <t xml:space="preserve">Autorretencion servicios</t>
  </si>
  <si>
    <t>18050502</t>
  </si>
  <si>
    <t xml:space="preserve">Retención en la fuente compras 1.5%</t>
  </si>
  <si>
    <t>18050503</t>
  </si>
  <si>
    <t xml:space="preserve">Tarjetas de crédito</t>
  </si>
  <si>
    <t>18050504</t>
  </si>
  <si>
    <t xml:space="preserve">Servicios 6%</t>
  </si>
  <si>
    <t>18050505</t>
  </si>
  <si>
    <t>Autorretencion</t>
  </si>
  <si>
    <t>18050506</t>
  </si>
  <si>
    <t xml:space="preserve">Anticipo sobretasa cree</t>
  </si>
  <si>
    <t>18050507</t>
  </si>
  <si>
    <t xml:space="preserve">Sobrantes en liquidación privada de impuestos</t>
  </si>
  <si>
    <t>19</t>
  </si>
  <si>
    <t xml:space="preserve">Otros activos financieros</t>
  </si>
  <si>
    <t>1945</t>
  </si>
  <si>
    <t xml:space="preserve">De inversiones</t>
  </si>
  <si>
    <t>194510</t>
  </si>
  <si>
    <t>19451001</t>
  </si>
  <si>
    <t>2</t>
  </si>
  <si>
    <t>Pasivo</t>
  </si>
  <si>
    <t>21</t>
  </si>
  <si>
    <t xml:space="preserve">Pasivos financieros</t>
  </si>
  <si>
    <t>2105</t>
  </si>
  <si>
    <t xml:space="preserve">Bancos nacionales</t>
  </si>
  <si>
    <t>210510</t>
  </si>
  <si>
    <t>Pagares</t>
  </si>
  <si>
    <t>21051001</t>
  </si>
  <si>
    <t xml:space="preserve">Colpatria costo amortizado</t>
  </si>
  <si>
    <t xml:space="preserve">Otros pasivos</t>
  </si>
  <si>
    <t>21051002</t>
  </si>
  <si>
    <t xml:space="preserve">BBVA diferencia certificado</t>
  </si>
  <si>
    <t>2110</t>
  </si>
  <si>
    <t xml:space="preserve">Depósitos recibidos</t>
  </si>
  <si>
    <t>211095</t>
  </si>
  <si>
    <t>21109501</t>
  </si>
  <si>
    <t>22</t>
  </si>
  <si>
    <t>Proveedores</t>
  </si>
  <si>
    <t>2205</t>
  </si>
  <si>
    <t xml:space="preserve">Proveedores nacionales</t>
  </si>
  <si>
    <t>220505</t>
  </si>
  <si>
    <t>22050501</t>
  </si>
  <si>
    <t xml:space="preserve">Cuentas por pagar</t>
  </si>
  <si>
    <t>2210</t>
  </si>
  <si>
    <t xml:space="preserve">Proveedores del exterior</t>
  </si>
  <si>
    <t>221005</t>
  </si>
  <si>
    <t>22100501</t>
  </si>
  <si>
    <t>23</t>
  </si>
  <si>
    <t xml:space="preserve">Acreedores comerciales y otras cuentas por pagar</t>
  </si>
  <si>
    <t>2305</t>
  </si>
  <si>
    <t xml:space="preserve">Cuentas corrientes comerciales</t>
  </si>
  <si>
    <t>230505</t>
  </si>
  <si>
    <t>23050501</t>
  </si>
  <si>
    <t>2335</t>
  </si>
  <si>
    <t xml:space="preserve">Costos y gastos por pagar</t>
  </si>
  <si>
    <t>233525</t>
  </si>
  <si>
    <t>Honorarios</t>
  </si>
  <si>
    <t>23352501</t>
  </si>
  <si>
    <t>233595</t>
  </si>
  <si>
    <t>23359501</t>
  </si>
  <si>
    <t>23359502</t>
  </si>
  <si>
    <t xml:space="preserve">Otros Fredy Pardo</t>
  </si>
  <si>
    <t>2355</t>
  </si>
  <si>
    <t xml:space="preserve">DEUDAS CON ACCIONISTAS O SOCIOS                   </t>
  </si>
  <si>
    <t>235501</t>
  </si>
  <si>
    <t xml:space="preserve">ACCIONISTAS                                       </t>
  </si>
  <si>
    <t>23550101</t>
  </si>
  <si>
    <t xml:space="preserve">ACCIONISTAS        </t>
  </si>
  <si>
    <t xml:space="preserve">Pasivo corto plazo</t>
  </si>
  <si>
    <t>2365</t>
  </si>
  <si>
    <t xml:space="preserve">Retenciones en la fuente</t>
  </si>
  <si>
    <t>236505</t>
  </si>
  <si>
    <t xml:space="preserve">Salarios y pagos laborales</t>
  </si>
  <si>
    <t>23650501</t>
  </si>
  <si>
    <t>236510</t>
  </si>
  <si>
    <t xml:space="preserve">Dividendos y/o participaciones</t>
  </si>
  <si>
    <t>236515</t>
  </si>
  <si>
    <t>23651501</t>
  </si>
  <si>
    <t xml:space="preserve">Impuestos- Compras</t>
  </si>
  <si>
    <t>23651502</t>
  </si>
  <si>
    <t xml:space="preserve">Devolución Honorarios</t>
  </si>
  <si>
    <t xml:space="preserve">Impuestos- Devolución compras</t>
  </si>
  <si>
    <t>23651503</t>
  </si>
  <si>
    <t xml:space="preserve">Retención 7%</t>
  </si>
  <si>
    <t>23651504</t>
  </si>
  <si>
    <t xml:space="preserve">Devolución retención 7%</t>
  </si>
  <si>
    <t>23651505</t>
  </si>
  <si>
    <t xml:space="preserve">Retención 3,5%</t>
  </si>
  <si>
    <t>23651506</t>
  </si>
  <si>
    <t xml:space="preserve">Devolución retención 3,5%</t>
  </si>
  <si>
    <t>23651507</t>
  </si>
  <si>
    <t xml:space="preserve">Retención 2%</t>
  </si>
  <si>
    <t>23651508</t>
  </si>
  <si>
    <t xml:space="preserve">Devolución retención 2%</t>
  </si>
  <si>
    <t>23651509</t>
  </si>
  <si>
    <t xml:space="preserve">Retención 1%</t>
  </si>
  <si>
    <t>23651510</t>
  </si>
  <si>
    <t xml:space="preserve">Devolución retención 1%</t>
  </si>
  <si>
    <t>236520</t>
  </si>
  <si>
    <t>Comisiones</t>
  </si>
  <si>
    <t>23652001</t>
  </si>
  <si>
    <t>23652002</t>
  </si>
  <si>
    <t xml:space="preserve">Devolución Comisiones</t>
  </si>
  <si>
    <t>236525</t>
  </si>
  <si>
    <t>Servicios</t>
  </si>
  <si>
    <t>23652501</t>
  </si>
  <si>
    <t>23652502</t>
  </si>
  <si>
    <t xml:space="preserve">Devolución Servicios 6%</t>
  </si>
  <si>
    <t>23652503</t>
  </si>
  <si>
    <t xml:space="preserve">Servicios 4%</t>
  </si>
  <si>
    <t>23652504</t>
  </si>
  <si>
    <t xml:space="preserve">Devolución Servicios 4%</t>
  </si>
  <si>
    <t>23652505</t>
  </si>
  <si>
    <t xml:space="preserve">Servicios  1 %</t>
  </si>
  <si>
    <t>23652506</t>
  </si>
  <si>
    <t xml:space="preserve">Devolución servicios  1 %</t>
  </si>
  <si>
    <t>236530</t>
  </si>
  <si>
    <t>Arrendamientos</t>
  </si>
  <si>
    <t>23653001</t>
  </si>
  <si>
    <t>236535</t>
  </si>
  <si>
    <t xml:space="preserve">Rendimientos financieros</t>
  </si>
  <si>
    <t>23653501</t>
  </si>
  <si>
    <t>23653502</t>
  </si>
  <si>
    <t xml:space="preserve">Rendimientos financieros 7 %</t>
  </si>
  <si>
    <t>23653503</t>
  </si>
  <si>
    <t xml:space="preserve">Devolución rendimientos financieros 7 %</t>
  </si>
  <si>
    <t>236540</t>
  </si>
  <si>
    <t xml:space="preserve">Retención por compras</t>
  </si>
  <si>
    <t>23654001</t>
  </si>
  <si>
    <t xml:space="preserve">Retención por compras 2,5%</t>
  </si>
  <si>
    <t>23654002</t>
  </si>
  <si>
    <t xml:space="preserve">Devolución Retención por compras 2,5%</t>
  </si>
  <si>
    <t>23654004</t>
  </si>
  <si>
    <t xml:space="preserve">Retención por compras 3,5%</t>
  </si>
  <si>
    <t>23654005</t>
  </si>
  <si>
    <t xml:space="preserve">Devolución Retención por compras 3,5%</t>
  </si>
  <si>
    <t>236570</t>
  </si>
  <si>
    <t xml:space="preserve">Otras retenciones</t>
  </si>
  <si>
    <t>23657001</t>
  </si>
  <si>
    <t xml:space="preserve">Otras retenciones  2 %</t>
  </si>
  <si>
    <t>23657002</t>
  </si>
  <si>
    <t xml:space="preserve">Devolución otras retenciones  2 %</t>
  </si>
  <si>
    <t>236575</t>
  </si>
  <si>
    <t>Autorretenciones</t>
  </si>
  <si>
    <t>23657501</t>
  </si>
  <si>
    <t>2367</t>
  </si>
  <si>
    <t>236701</t>
  </si>
  <si>
    <t>23670101</t>
  </si>
  <si>
    <t>23670102</t>
  </si>
  <si>
    <t xml:space="preserve">Devolución Impuesto a las ventas retenido 15%</t>
  </si>
  <si>
    <t>236705</t>
  </si>
  <si>
    <t xml:space="preserve">Retención de impuesto a las ventas Iva</t>
  </si>
  <si>
    <t>236768</t>
  </si>
  <si>
    <t>23676801</t>
  </si>
  <si>
    <t>2368</t>
  </si>
  <si>
    <t>236805</t>
  </si>
  <si>
    <t xml:space="preserve">Retención industria y comercio Ica</t>
  </si>
  <si>
    <t>23680501</t>
  </si>
  <si>
    <t xml:space="preserve">Reteica 11,04</t>
  </si>
  <si>
    <t>23680502</t>
  </si>
  <si>
    <t xml:space="preserve">Devolución Reteica 11,04</t>
  </si>
  <si>
    <t>23680503</t>
  </si>
  <si>
    <t xml:space="preserve">Reteica 13,8</t>
  </si>
  <si>
    <t>23680504</t>
  </si>
  <si>
    <t xml:space="preserve">Devolución Reteica 13,8</t>
  </si>
  <si>
    <t>23680505</t>
  </si>
  <si>
    <t xml:space="preserve">Reteica 9,66</t>
  </si>
  <si>
    <t>23680506</t>
  </si>
  <si>
    <t xml:space="preserve">Devolución Reteica 9,66</t>
  </si>
  <si>
    <t>23680507</t>
  </si>
  <si>
    <t xml:space="preserve">Reteica 8</t>
  </si>
  <si>
    <t>23680508</t>
  </si>
  <si>
    <t xml:space="preserve">Devolución Reteica 8</t>
  </si>
  <si>
    <t>23680509</t>
  </si>
  <si>
    <t xml:space="preserve">Reteica 7</t>
  </si>
  <si>
    <t>23680510</t>
  </si>
  <si>
    <t xml:space="preserve">Devolución Reteica 7</t>
  </si>
  <si>
    <t>23680511</t>
  </si>
  <si>
    <t xml:space="preserve">Reteica 6,9</t>
  </si>
  <si>
    <t>23680512</t>
  </si>
  <si>
    <t xml:space="preserve">Devolución Reteica 6,9</t>
  </si>
  <si>
    <t>23680513</t>
  </si>
  <si>
    <t xml:space="preserve">Reteica 4,14</t>
  </si>
  <si>
    <t>23680514</t>
  </si>
  <si>
    <t xml:space="preserve">Devolución Reteica 4,14</t>
  </si>
  <si>
    <t>2370</t>
  </si>
  <si>
    <t xml:space="preserve">Aportes a empresas promotoras de salud eps</t>
  </si>
  <si>
    <t>237005</t>
  </si>
  <si>
    <t xml:space="preserve">Aportes a entidades promotoras de salud eps</t>
  </si>
  <si>
    <t>23700501</t>
  </si>
  <si>
    <t>237006</t>
  </si>
  <si>
    <t xml:space="preserve">Aporte a administradoras de riesgos profesionales</t>
  </si>
  <si>
    <t>23700601</t>
  </si>
  <si>
    <t xml:space="preserve">Aporte a administradoras de riesgos profesionales, ARL</t>
  </si>
  <si>
    <t xml:space="preserve">Otros gastos</t>
  </si>
  <si>
    <t>237010</t>
  </si>
  <si>
    <t xml:space="preserve">Aportes al icbf Sena y cajas de compensación</t>
  </si>
  <si>
    <t>23701001</t>
  </si>
  <si>
    <t>23701002</t>
  </si>
  <si>
    <t>Sena</t>
  </si>
  <si>
    <t>23701003</t>
  </si>
  <si>
    <t>Icbf</t>
  </si>
  <si>
    <t>237015</t>
  </si>
  <si>
    <t xml:space="preserve">Aportes arl</t>
  </si>
  <si>
    <t>23701501</t>
  </si>
  <si>
    <t>237025</t>
  </si>
  <si>
    <t xml:space="preserve">Embargos judiciales</t>
  </si>
  <si>
    <t>23702501</t>
  </si>
  <si>
    <t>237030</t>
  </si>
  <si>
    <t>Libranzas</t>
  </si>
  <si>
    <t>23703001</t>
  </si>
  <si>
    <t>237045</t>
  </si>
  <si>
    <t>Fondos</t>
  </si>
  <si>
    <t>23704501</t>
  </si>
  <si>
    <t>237050</t>
  </si>
  <si>
    <t xml:space="preserve">Ahorro afc</t>
  </si>
  <si>
    <t>23705001</t>
  </si>
  <si>
    <t>237090</t>
  </si>
  <si>
    <t xml:space="preserve">PLANILLAS SGSS POR PAGAR</t>
  </si>
  <si>
    <t>23709001</t>
  </si>
  <si>
    <t>2380</t>
  </si>
  <si>
    <t xml:space="preserve">Acreedores varios</t>
  </si>
  <si>
    <t>238030</t>
  </si>
  <si>
    <t xml:space="preserve">Fondos de cesantías y/o pensiones</t>
  </si>
  <si>
    <t>23803001</t>
  </si>
  <si>
    <t>238095</t>
  </si>
  <si>
    <t>23809501</t>
  </si>
  <si>
    <t>24</t>
  </si>
  <si>
    <t xml:space="preserve">Pasivos por impuestos</t>
  </si>
  <si>
    <t>2404</t>
  </si>
  <si>
    <t xml:space="preserve">De renta y complementarios corriente</t>
  </si>
  <si>
    <t>240405</t>
  </si>
  <si>
    <t xml:space="preserve">Vigencia fiscal corriente</t>
  </si>
  <si>
    <t>24040501</t>
  </si>
  <si>
    <t>2408</t>
  </si>
  <si>
    <t xml:space="preserve">Impuesto sobre las ventas por pagar</t>
  </si>
  <si>
    <t>240806</t>
  </si>
  <si>
    <t xml:space="preserve">Iva generado</t>
  </si>
  <si>
    <t>24080601</t>
  </si>
  <si>
    <t xml:space="preserve">Iva generado 19%</t>
  </si>
  <si>
    <t>24080602</t>
  </si>
  <si>
    <t xml:space="preserve">Iva generado 5%</t>
  </si>
  <si>
    <t>240810</t>
  </si>
  <si>
    <t xml:space="preserve">Iva descontable por compras</t>
  </si>
  <si>
    <t>24081001</t>
  </si>
  <si>
    <t xml:space="preserve">Iva descontable por compras 19%</t>
  </si>
  <si>
    <t>24081002</t>
  </si>
  <si>
    <t xml:space="preserve">Iva Devolución en compras 19%</t>
  </si>
  <si>
    <t>24081003</t>
  </si>
  <si>
    <t xml:space="preserve">Iva descontable por compras 5%</t>
  </si>
  <si>
    <t>24081004</t>
  </si>
  <si>
    <t xml:space="preserve">Iva Devolución en compras 5%</t>
  </si>
  <si>
    <t>240815</t>
  </si>
  <si>
    <t xml:space="preserve">Descontable por servicios</t>
  </si>
  <si>
    <t>24081501</t>
  </si>
  <si>
    <t xml:space="preserve">Descontable por servicios 19%</t>
  </si>
  <si>
    <t>240820</t>
  </si>
  <si>
    <t xml:space="preserve">Descontable por devoluciones</t>
  </si>
  <si>
    <t>24082001</t>
  </si>
  <si>
    <t xml:space="preserve">Descontable por devoluciones 19%</t>
  </si>
  <si>
    <t>24082002</t>
  </si>
  <si>
    <t xml:space="preserve">Descontable por devoluciones 5%</t>
  </si>
  <si>
    <t>240830</t>
  </si>
  <si>
    <t xml:space="preserve">Descontable régimen simplificado</t>
  </si>
  <si>
    <t>24083001</t>
  </si>
  <si>
    <t>240899</t>
  </si>
  <si>
    <t xml:space="preserve">IVA POR PAGAR</t>
  </si>
  <si>
    <t>2464</t>
  </si>
  <si>
    <t xml:space="preserve">De licores, cervezas y cigarrillos</t>
  </si>
  <si>
    <t>246401</t>
  </si>
  <si>
    <t xml:space="preserve">Impuesto por valor en ventas</t>
  </si>
  <si>
    <t>246402</t>
  </si>
  <si>
    <t xml:space="preserve">Impuesto por valor en devolucion en ventas</t>
  </si>
  <si>
    <t>246403</t>
  </si>
  <si>
    <t xml:space="preserve">Impuesto por valor en compras</t>
  </si>
  <si>
    <t>246404</t>
  </si>
  <si>
    <t xml:space="preserve">Impuesto por valor en devolucion en compras</t>
  </si>
  <si>
    <t>2495</t>
  </si>
  <si>
    <t>249501</t>
  </si>
  <si>
    <t xml:space="preserve">Impuesto al consumo nacional</t>
  </si>
  <si>
    <t>24950101</t>
  </si>
  <si>
    <t xml:space="preserve">Impuesto al consumo en ventas</t>
  </si>
  <si>
    <t>24950102</t>
  </si>
  <si>
    <t xml:space="preserve">Impuesto al consumo en devolucion en ventas</t>
  </si>
  <si>
    <t>24950103</t>
  </si>
  <si>
    <t xml:space="preserve">Impuesto al consumo en compras</t>
  </si>
  <si>
    <t>24950104</t>
  </si>
  <si>
    <t xml:space="preserve">Impuesto al consumo en devolucion en compras</t>
  </si>
  <si>
    <t>249505</t>
  </si>
  <si>
    <t>25</t>
  </si>
  <si>
    <t xml:space="preserve">Beneficios a empleados</t>
  </si>
  <si>
    <t>2505</t>
  </si>
  <si>
    <t xml:space="preserve">Salarios por pagar</t>
  </si>
  <si>
    <t>250505</t>
  </si>
  <si>
    <t>25050501</t>
  </si>
  <si>
    <t>2510</t>
  </si>
  <si>
    <t xml:space="preserve"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</si>
  <si>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</si>
  <si>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</si>
  <si>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</si>
  <si>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</si>
  <si>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</si>
  <si>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</si>
  <si>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 xml:space="preserve"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</si>
  <si>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</si>
  <si>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</si>
  <si>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</si>
  <si>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</si>
  <si>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</si>
  <si>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</si>
  <si>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</si>
  <si>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 xml:space="preserve">Prima de servicios</t>
  </si>
  <si>
    <t>2510100401</t>
  </si>
  <si>
    <t>2510100402</t>
  </si>
  <si>
    <t>28</t>
  </si>
  <si>
    <t xml:space="preserve">Pasivos no financieros</t>
  </si>
  <si>
    <t>2805</t>
  </si>
  <si>
    <t xml:space="preserve">Anticipos y avances recibidos</t>
  </si>
  <si>
    <t>280505</t>
  </si>
  <si>
    <t xml:space="preserve">De clientes</t>
  </si>
  <si>
    <t>28050501</t>
  </si>
  <si>
    <t>2815</t>
  </si>
  <si>
    <t xml:space="preserve">Ingresos recibidos para terceros</t>
  </si>
  <si>
    <t>281505</t>
  </si>
  <si>
    <t xml:space="preserve">Valores recibidos para terceros</t>
  </si>
  <si>
    <t>28150501</t>
  </si>
  <si>
    <t>3</t>
  </si>
  <si>
    <t>Patrimonio</t>
  </si>
  <si>
    <t>31</t>
  </si>
  <si>
    <t xml:space="preserve">Capital social</t>
  </si>
  <si>
    <t>3105</t>
  </si>
  <si>
    <t xml:space="preserve">Capital suscrito y pagado</t>
  </si>
  <si>
    <t>310505</t>
  </si>
  <si>
    <t>31050501</t>
  </si>
  <si>
    <t xml:space="preserve">Capital autorizado</t>
  </si>
  <si>
    <t>310510</t>
  </si>
  <si>
    <t xml:space="preserve">Capital por suscribir (db)</t>
  </si>
  <si>
    <t>31051001</t>
  </si>
  <si>
    <t>32</t>
  </si>
  <si>
    <t xml:space="preserve">Superávit de capital</t>
  </si>
  <si>
    <t>3205</t>
  </si>
  <si>
    <t xml:space="preserve">Prima en colocación de acciones cuotas o partes d</t>
  </si>
  <si>
    <t>320505</t>
  </si>
  <si>
    <t xml:space="preserve">Prima en colocación de acciones</t>
  </si>
  <si>
    <t>32050501</t>
  </si>
  <si>
    <t>320520</t>
  </si>
  <si>
    <t xml:space="preserve">Superávit por el método de participación</t>
  </si>
  <si>
    <t>32052001</t>
  </si>
  <si>
    <t>33</t>
  </si>
  <si>
    <t>Reservas</t>
  </si>
  <si>
    <t>3305</t>
  </si>
  <si>
    <t xml:space="preserve">Reservas obligatorias</t>
  </si>
  <si>
    <t>330505</t>
  </si>
  <si>
    <t>33050501</t>
  </si>
  <si>
    <t xml:space="preserve">Reserva legal</t>
  </si>
  <si>
    <t>36</t>
  </si>
  <si>
    <t xml:space="preserve">RESULTADOS DEL EJERCICIO                          </t>
  </si>
  <si>
    <t>3605</t>
  </si>
  <si>
    <t>360505</t>
  </si>
  <si>
    <t xml:space="preserve">UTILIDAD DEL EJERCICIO                            </t>
  </si>
  <si>
    <t>36050501</t>
  </si>
  <si>
    <t xml:space="preserve">UTILIDAD DEL EJERCICIO        </t>
  </si>
  <si>
    <t>37</t>
  </si>
  <si>
    <t xml:space="preserve">Resultados de ejercicios anteriores</t>
  </si>
  <si>
    <t>3705</t>
  </si>
  <si>
    <t>370505</t>
  </si>
  <si>
    <t>37050501</t>
  </si>
  <si>
    <t xml:space="preserve">Utilidades o excedentes acumulados</t>
  </si>
  <si>
    <t>3710</t>
  </si>
  <si>
    <t>Convergencia</t>
  </si>
  <si>
    <t>371005</t>
  </si>
  <si>
    <t>37100501</t>
  </si>
  <si>
    <t xml:space="preserve">Otros aportes de capital</t>
  </si>
  <si>
    <t>39</t>
  </si>
  <si>
    <t xml:space="preserve">Afectaciones fiscales de ingresos y gastos</t>
  </si>
  <si>
    <t>3905</t>
  </si>
  <si>
    <t xml:space="preserve">Resultados fiscales de ventas en ganancia ocasional</t>
  </si>
  <si>
    <t>390505</t>
  </si>
  <si>
    <t>39050501</t>
  </si>
  <si>
    <t>4</t>
  </si>
  <si>
    <t>Ingresos</t>
  </si>
  <si>
    <t>41</t>
  </si>
  <si>
    <t xml:space="preserve">Ingresos de actividades ordinarias</t>
  </si>
  <si>
    <t>4135</t>
  </si>
  <si>
    <t xml:space="preserve">Comercio al por mayor y al detal</t>
  </si>
  <si>
    <t>413501</t>
  </si>
  <si>
    <t>41350101</t>
  </si>
  <si>
    <t>41350102</t>
  </si>
  <si>
    <t>Descuentos</t>
  </si>
  <si>
    <t>41350197</t>
  </si>
  <si>
    <t xml:space="preserve">D. fiscal Comercio al por mayor y al detal</t>
  </si>
  <si>
    <t>4155</t>
  </si>
  <si>
    <t xml:space="preserve">ACTIVIDADES INMOBILIARIAS  EMPRESARIALES</t>
  </si>
  <si>
    <t>415550</t>
  </si>
  <si>
    <t xml:space="preserve">ACTIVIDADES EMPRESARIALES DE CONSULTORIA</t>
  </si>
  <si>
    <t>41555001</t>
  </si>
  <si>
    <t>CONSULTORIA</t>
  </si>
  <si>
    <t>4175</t>
  </si>
  <si>
    <t xml:space="preserve">Devolución en ventas</t>
  </si>
  <si>
    <t>417505</t>
  </si>
  <si>
    <t>Devolución</t>
  </si>
  <si>
    <t>41750501</t>
  </si>
  <si>
    <t>41750502</t>
  </si>
  <si>
    <t xml:space="preserve">Devolución en servicios</t>
  </si>
  <si>
    <t>41750503</t>
  </si>
  <si>
    <t xml:space="preserve">Devolución en descuentos</t>
  </si>
  <si>
    <t>41750597</t>
  </si>
  <si>
    <t xml:space="preserve">D. fiscal devolución en ventas</t>
  </si>
  <si>
    <t>4180</t>
  </si>
  <si>
    <t>418001</t>
  </si>
  <si>
    <t>41800101</t>
  </si>
  <si>
    <t>41800102</t>
  </si>
  <si>
    <t xml:space="preserve">Descuentos en servicios</t>
  </si>
  <si>
    <t>41800197</t>
  </si>
  <si>
    <t xml:space="preserve">D. fiscal servicios</t>
  </si>
  <si>
    <t>42</t>
  </si>
  <si>
    <t xml:space="preserve">Otros ingresos de actividades ordinarias</t>
  </si>
  <si>
    <t>4210</t>
  </si>
  <si>
    <t>Financieros</t>
  </si>
  <si>
    <t>421020</t>
  </si>
  <si>
    <t xml:space="preserve">Diferencia en cambio</t>
  </si>
  <si>
    <t>42102001</t>
  </si>
  <si>
    <t>42102097</t>
  </si>
  <si>
    <t xml:space="preserve">D. fiscal diferencia en cambio</t>
  </si>
  <si>
    <t>421040</t>
  </si>
  <si>
    <t xml:space="preserve">Descuentos comerciales condicionados</t>
  </si>
  <si>
    <t>42104001</t>
  </si>
  <si>
    <t>42104097</t>
  </si>
  <si>
    <t xml:space="preserve">D. fiscal descuentos comerciales condicionados</t>
  </si>
  <si>
    <t>421065</t>
  </si>
  <si>
    <t xml:space="preserve">RENDIMIENTO FINANCIERO                            </t>
  </si>
  <si>
    <t>42106501</t>
  </si>
  <si>
    <t xml:space="preserve">Otros ingresos</t>
  </si>
  <si>
    <t>4218</t>
  </si>
  <si>
    <t xml:space="preserve">Ingresos método de participación</t>
  </si>
  <si>
    <t>421805</t>
  </si>
  <si>
    <t xml:space="preserve">De sociedades anónimas y/o asimiladas</t>
  </si>
  <si>
    <t>42180501</t>
  </si>
  <si>
    <t>42180597</t>
  </si>
  <si>
    <t xml:space="preserve">D. fiscal de sociedades anónimas y/o asimiladas</t>
  </si>
  <si>
    <t>4295</t>
  </si>
  <si>
    <t>Diversos</t>
  </si>
  <si>
    <t>429505</t>
  </si>
  <si>
    <t>Aprovechamientos</t>
  </si>
  <si>
    <t>42950501</t>
  </si>
  <si>
    <t>42950505</t>
  </si>
  <si>
    <t xml:space="preserve">Otros Ingresos</t>
  </si>
  <si>
    <t>42950597</t>
  </si>
  <si>
    <t xml:space="preserve">D. fiscal aprovechamientos</t>
  </si>
  <si>
    <t>429509</t>
  </si>
  <si>
    <t>SUBVENCIONES</t>
  </si>
  <si>
    <t>42950901</t>
  </si>
  <si>
    <t>429581</t>
  </si>
  <si>
    <t xml:space="preserve">Ajuste al peso</t>
  </si>
  <si>
    <t>42958101</t>
  </si>
  <si>
    <t>42958197</t>
  </si>
  <si>
    <t xml:space="preserve">D. fiscal ajuste al peso</t>
  </si>
  <si>
    <t>429595</t>
  </si>
  <si>
    <t xml:space="preserve">Ingresos diversos POS</t>
  </si>
  <si>
    <t>43</t>
  </si>
  <si>
    <t>Ganancias</t>
  </si>
  <si>
    <t>4305</t>
  </si>
  <si>
    <t>430505</t>
  </si>
  <si>
    <t>Revaluación</t>
  </si>
  <si>
    <t>43050501</t>
  </si>
  <si>
    <t xml:space="preserve">Revaluación de terrenos y edificaciones</t>
  </si>
  <si>
    <t>43050597</t>
  </si>
  <si>
    <t xml:space="preserve">D. fiscal revaluación de terrenos y edificaciones</t>
  </si>
  <si>
    <t>430510</t>
  </si>
  <si>
    <t>Salvamento</t>
  </si>
  <si>
    <t>43051001</t>
  </si>
  <si>
    <t>43051097</t>
  </si>
  <si>
    <t xml:space="preserve">D. fiscal salvamento</t>
  </si>
  <si>
    <t>44</t>
  </si>
  <si>
    <t xml:space="preserve">Ingresos fiscales</t>
  </si>
  <si>
    <t>4405</t>
  </si>
  <si>
    <t xml:space="preserve">Ingresos por ganancia ocasional</t>
  </si>
  <si>
    <t>440505</t>
  </si>
  <si>
    <t>44050501</t>
  </si>
  <si>
    <t>44050597</t>
  </si>
  <si>
    <t xml:space="preserve">D. fiscal Ingresos por ganancia ocasional</t>
  </si>
  <si>
    <t>4410</t>
  </si>
  <si>
    <t xml:space="preserve">Ingresos renta ordinaria</t>
  </si>
  <si>
    <t>441005</t>
  </si>
  <si>
    <t xml:space="preserve">Recuperación de deducciones fiscales</t>
  </si>
  <si>
    <t>44100501</t>
  </si>
  <si>
    <t xml:space="preserve">Recuperación de depreciación</t>
  </si>
  <si>
    <t>44100597</t>
  </si>
  <si>
    <t xml:space="preserve">D. fiscal recuperación de depreciación</t>
  </si>
  <si>
    <t>5</t>
  </si>
  <si>
    <t>Gasto</t>
  </si>
  <si>
    <t>51</t>
  </si>
  <si>
    <t>Administrativos</t>
  </si>
  <si>
    <t>5105</t>
  </si>
  <si>
    <t xml:space="preserve">Gastos de personal</t>
  </si>
  <si>
    <t>510503</t>
  </si>
  <si>
    <t xml:space="preserve">Salario integral</t>
  </si>
  <si>
    <t>51050301</t>
  </si>
  <si>
    <t xml:space="preserve">Gasto - Nómina</t>
  </si>
  <si>
    <t>Gastos</t>
  </si>
  <si>
    <t>51050397</t>
  </si>
  <si>
    <t xml:space="preserve">D. fiscal salario integral</t>
  </si>
  <si>
    <t>510506</t>
  </si>
  <si>
    <t>Sueldos</t>
  </si>
  <si>
    <t>51050601</t>
  </si>
  <si>
    <t>51050697</t>
  </si>
  <si>
    <t xml:space="preserve">D. fiscal sueldos</t>
  </si>
  <si>
    <t>510512</t>
  </si>
  <si>
    <t xml:space="preserve">Apoyo sostenimiento aprendices</t>
  </si>
  <si>
    <t>51051201</t>
  </si>
  <si>
    <t>51051297</t>
  </si>
  <si>
    <t xml:space="preserve">D. fiscal apoyo sostenimiento aprendices</t>
  </si>
  <si>
    <t>510515</t>
  </si>
  <si>
    <t xml:space="preserve">Horas extras y recargos</t>
  </si>
  <si>
    <t>51051501</t>
  </si>
  <si>
    <t>51051597</t>
  </si>
  <si>
    <t xml:space="preserve">D. fiscal horas extras y recargos</t>
  </si>
  <si>
    <t>510524</t>
  </si>
  <si>
    <t>51052401</t>
  </si>
  <si>
    <t>51052497</t>
  </si>
  <si>
    <t xml:space="preserve">D. fiscal incapacidades</t>
  </si>
  <si>
    <t>510527</t>
  </si>
  <si>
    <t xml:space="preserve">Auxilio de transporte</t>
  </si>
  <si>
    <t>51052701</t>
  </si>
  <si>
    <t>51052797</t>
  </si>
  <si>
    <t xml:space="preserve">D. fiscal auxilio de transporte</t>
  </si>
  <si>
    <t>510530</t>
  </si>
  <si>
    <t>51053001</t>
  </si>
  <si>
    <t>51053097</t>
  </si>
  <si>
    <t xml:space="preserve">D. fiscal cesantías</t>
  </si>
  <si>
    <t>510533</t>
  </si>
  <si>
    <t>51053301</t>
  </si>
  <si>
    <t>51053397</t>
  </si>
  <si>
    <t xml:space="preserve">D. fiscal intereses sobre cesantías</t>
  </si>
  <si>
    <t>510536</t>
  </si>
  <si>
    <t>51053601</t>
  </si>
  <si>
    <t>51053697</t>
  </si>
  <si>
    <t xml:space="preserve">D. fiscal prima de servicios</t>
  </si>
  <si>
    <t>510539</t>
  </si>
  <si>
    <t>51053901</t>
  </si>
  <si>
    <t>51053997</t>
  </si>
  <si>
    <t xml:space="preserve">D. fiscal vacaciones</t>
  </si>
  <si>
    <t>510545</t>
  </si>
  <si>
    <t>Auxilios</t>
  </si>
  <si>
    <t>51054501</t>
  </si>
  <si>
    <t>Educativo</t>
  </si>
  <si>
    <t>51054502</t>
  </si>
  <si>
    <t xml:space="preserve">Auxilio transporte</t>
  </si>
  <si>
    <t>51054597</t>
  </si>
  <si>
    <t xml:space="preserve">D. fiscal auxilio transporte</t>
  </si>
  <si>
    <t>510548</t>
  </si>
  <si>
    <t>Bonificaciones</t>
  </si>
  <si>
    <t>51054801</t>
  </si>
  <si>
    <t>51054897</t>
  </si>
  <si>
    <t xml:space="preserve">D. fiscal bonificaciones</t>
  </si>
  <si>
    <t>510551</t>
  </si>
  <si>
    <t xml:space="preserve">Dotación y suministro a trabajadores</t>
  </si>
  <si>
    <t>51055101</t>
  </si>
  <si>
    <t>51055197</t>
  </si>
  <si>
    <t xml:space="preserve">D. fiscal dotación y suministro a trabajadores</t>
  </si>
  <si>
    <t>510560</t>
  </si>
  <si>
    <t xml:space="preserve">Indemnizaciones laborales</t>
  </si>
  <si>
    <t>51056001</t>
  </si>
  <si>
    <t>51056097</t>
  </si>
  <si>
    <t xml:space="preserve">D. fiscal indemnizaciones laborales</t>
  </si>
  <si>
    <t>510563</t>
  </si>
  <si>
    <t xml:space="preserve">Capacitación al personal</t>
  </si>
  <si>
    <t>51056301</t>
  </si>
  <si>
    <t>51056397</t>
  </si>
  <si>
    <t xml:space="preserve">D. fiscal capacitación al personal</t>
  </si>
  <si>
    <t>510566</t>
  </si>
  <si>
    <t xml:space="preserve">Gastos deportivos y de recreación</t>
  </si>
  <si>
    <t>51056601</t>
  </si>
  <si>
    <t>51056697</t>
  </si>
  <si>
    <t xml:space="preserve">D. fiscal gastos deportivos y de recreación</t>
  </si>
  <si>
    <t>510568</t>
  </si>
  <si>
    <t xml:space="preserve">Aportes a administradora de riesgos laborales</t>
  </si>
  <si>
    <t>51056801</t>
  </si>
  <si>
    <t>51056897</t>
  </si>
  <si>
    <t xml:space="preserve">D. fiscal aportes a administradora de riesgos laborales</t>
  </si>
  <si>
    <t>510569</t>
  </si>
  <si>
    <t>51056901</t>
  </si>
  <si>
    <t>51056997</t>
  </si>
  <si>
    <t xml:space="preserve">D. fiscal aportes a entidades promotoras de salud eps</t>
  </si>
  <si>
    <t>510570</t>
  </si>
  <si>
    <t xml:space="preserve">Aporte a fondos de pensión y/o cesantías</t>
  </si>
  <si>
    <t>51057001</t>
  </si>
  <si>
    <t>51057097</t>
  </si>
  <si>
    <t xml:space="preserve">D. fiscal aporte a fondos de pensión y/o cesantías</t>
  </si>
  <si>
    <t>510572</t>
  </si>
  <si>
    <t xml:space="preserve">Aportes cajas de compensación familiar</t>
  </si>
  <si>
    <t>51057201</t>
  </si>
  <si>
    <t>51057297</t>
  </si>
  <si>
    <t xml:space="preserve">D. fiscal aportes cajas de compensación familiar</t>
  </si>
  <si>
    <t>510575</t>
  </si>
  <si>
    <t xml:space="preserve">Aportes icbf</t>
  </si>
  <si>
    <t>51057501</t>
  </si>
  <si>
    <t>51057597</t>
  </si>
  <si>
    <t xml:space="preserve">D. fiscal aportes icbf</t>
  </si>
  <si>
    <t>510578</t>
  </si>
  <si>
    <t xml:space="preserve">Aportes Sena</t>
  </si>
  <si>
    <t>51057801</t>
  </si>
  <si>
    <t>51057897</t>
  </si>
  <si>
    <t xml:space="preserve">D. fiscal aportes Sena</t>
  </si>
  <si>
    <t>510584</t>
  </si>
  <si>
    <t xml:space="preserve">Gastos médicos y drogas</t>
  </si>
  <si>
    <t>51058401</t>
  </si>
  <si>
    <t>51058402</t>
  </si>
  <si>
    <t xml:space="preserve">Examenes Medicos</t>
  </si>
  <si>
    <t>51058497</t>
  </si>
  <si>
    <t xml:space="preserve">D. fiscal gastos médicos y drogas</t>
  </si>
  <si>
    <t>510595</t>
  </si>
  <si>
    <t>51059501</t>
  </si>
  <si>
    <t xml:space="preserve">Bienestar y atención a empleados</t>
  </si>
  <si>
    <t>51059597</t>
  </si>
  <si>
    <t xml:space="preserve">D. fiscal bienestar y atención a empleados</t>
  </si>
  <si>
    <t>5110</t>
  </si>
  <si>
    <t>511010</t>
  </si>
  <si>
    <t xml:space="preserve">Revisoría fiscal</t>
  </si>
  <si>
    <t>51101001</t>
  </si>
  <si>
    <t xml:space="preserve">Honorarios - Revisoría fiscal</t>
  </si>
  <si>
    <t>511015</t>
  </si>
  <si>
    <t xml:space="preserve">Auditoria externa</t>
  </si>
  <si>
    <t>511020</t>
  </si>
  <si>
    <t>Avalúos</t>
  </si>
  <si>
    <t>511025</t>
  </si>
  <si>
    <t xml:space="preserve">Asesoría jurídica</t>
  </si>
  <si>
    <t>51102501</t>
  </si>
  <si>
    <t xml:space="preserve">Honorarios - Asesoría jurídica</t>
  </si>
  <si>
    <t>511030</t>
  </si>
  <si>
    <t xml:space="preserve">ASESORIA FINANCIERA</t>
  </si>
  <si>
    <t>51103001</t>
  </si>
  <si>
    <t>511035</t>
  </si>
  <si>
    <t xml:space="preserve">Asesoría técnica</t>
  </si>
  <si>
    <t>51103501</t>
  </si>
  <si>
    <t>5115</t>
  </si>
  <si>
    <t>Impuestos</t>
  </si>
  <si>
    <t>511505</t>
  </si>
  <si>
    <t xml:space="preserve">Industria y comercio</t>
  </si>
  <si>
    <t>51150501</t>
  </si>
  <si>
    <t>511515</t>
  </si>
  <si>
    <t xml:space="preserve">A la propiedad raíz</t>
  </si>
  <si>
    <t>511540</t>
  </si>
  <si>
    <t xml:space="preserve">De vehículos</t>
  </si>
  <si>
    <t>511570</t>
  </si>
  <si>
    <t xml:space="preserve">Prorrateo de Iva</t>
  </si>
  <si>
    <t>51157001</t>
  </si>
  <si>
    <t xml:space="preserve">Iva mayor Valor</t>
  </si>
  <si>
    <t>511595</t>
  </si>
  <si>
    <t xml:space="preserve">Otros impuestos</t>
  </si>
  <si>
    <t>5120</t>
  </si>
  <si>
    <t>512010</t>
  </si>
  <si>
    <t>51201001</t>
  </si>
  <si>
    <t xml:space="preserve">Arrendamientos - Construcciones y edificaciones</t>
  </si>
  <si>
    <t>512020</t>
  </si>
  <si>
    <t>51202001</t>
  </si>
  <si>
    <t xml:space="preserve">Arrendamientos - Equipo de oficina</t>
  </si>
  <si>
    <t>512025</t>
  </si>
  <si>
    <t xml:space="preserve">Equipo de computación</t>
  </si>
  <si>
    <t>51202501</t>
  </si>
  <si>
    <t xml:space="preserve">Arrendamiento - Equipo de computación y comunicación</t>
  </si>
  <si>
    <t>512095</t>
  </si>
  <si>
    <t>Bodegaje</t>
  </si>
  <si>
    <t>5125</t>
  </si>
  <si>
    <t xml:space="preserve">Contribuciones y afiliaciones</t>
  </si>
  <si>
    <t>512510</t>
  </si>
  <si>
    <t xml:space="preserve">Afiliaciones y sostenimiento</t>
  </si>
  <si>
    <t>5130</t>
  </si>
  <si>
    <t>Seguros</t>
  </si>
  <si>
    <t>513010</t>
  </si>
  <si>
    <t>Cumplimiento</t>
  </si>
  <si>
    <t>51301001</t>
  </si>
  <si>
    <t>513015</t>
  </si>
  <si>
    <t xml:space="preserve">Corriente débil</t>
  </si>
  <si>
    <t>513020</t>
  </si>
  <si>
    <t xml:space="preserve">Vida colectiva</t>
  </si>
  <si>
    <t>513030</t>
  </si>
  <si>
    <t>Terremoto</t>
  </si>
  <si>
    <t>51303001</t>
  </si>
  <si>
    <t xml:space="preserve">Seguros - Terremoto</t>
  </si>
  <si>
    <t>513035</t>
  </si>
  <si>
    <t xml:space="preserve">Sustracción y hurto</t>
  </si>
  <si>
    <t>513040</t>
  </si>
  <si>
    <t>513070</t>
  </si>
  <si>
    <t xml:space="preserve">Rotura de maquinaria</t>
  </si>
  <si>
    <t>513075</t>
  </si>
  <si>
    <t xml:space="preserve">Obligatorio accidente de transito</t>
  </si>
  <si>
    <t>5135</t>
  </si>
  <si>
    <t>513505</t>
  </si>
  <si>
    <t xml:space="preserve">Aseo y vigilancia</t>
  </si>
  <si>
    <t>51350501</t>
  </si>
  <si>
    <t xml:space="preserve">Servicios - Aseo y vigilancia</t>
  </si>
  <si>
    <t>513515</t>
  </si>
  <si>
    <t xml:space="preserve">ASISTENCIA TECNICA                                </t>
  </si>
  <si>
    <t>51351501</t>
  </si>
  <si>
    <t>513520</t>
  </si>
  <si>
    <t xml:space="preserve">Procesamiento electrónico de datos</t>
  </si>
  <si>
    <t>51352001</t>
  </si>
  <si>
    <t xml:space="preserve">Servicios - Procesamiento electrónico de datos</t>
  </si>
  <si>
    <t>513525</t>
  </si>
  <si>
    <t xml:space="preserve">Acueducto y alcantarillado</t>
  </si>
  <si>
    <t>51352501</t>
  </si>
  <si>
    <t xml:space="preserve">Servicios públicos - Acueducto y alcantarillado</t>
  </si>
  <si>
    <t>513530</t>
  </si>
  <si>
    <t xml:space="preserve">Energía eléctrica</t>
  </si>
  <si>
    <t>51353001</t>
  </si>
  <si>
    <t xml:space="preserve">Servicios públicos - Energía eléctrica</t>
  </si>
  <si>
    <t>513535</t>
  </si>
  <si>
    <t>Teléfono</t>
  </si>
  <si>
    <t>51353501</t>
  </si>
  <si>
    <t xml:space="preserve">Servicios públicos - Teléfono</t>
  </si>
  <si>
    <t>51353502</t>
  </si>
  <si>
    <t xml:space="preserve">Servicios públicos - Celular</t>
  </si>
  <si>
    <t>513540</t>
  </si>
  <si>
    <t xml:space="preserve">Correo portes y telegramas</t>
  </si>
  <si>
    <t>513550</t>
  </si>
  <si>
    <t xml:space="preserve">Transporte fletes y acarreos</t>
  </si>
  <si>
    <t>513555</t>
  </si>
  <si>
    <t>Gas</t>
  </si>
  <si>
    <t>51355501</t>
  </si>
  <si>
    <t xml:space="preserve">Servicios públicos - Gas</t>
  </si>
  <si>
    <t>513595</t>
  </si>
  <si>
    <t>5140</t>
  </si>
  <si>
    <t xml:space="preserve">Gastos legales</t>
  </si>
  <si>
    <t>514005</t>
  </si>
  <si>
    <t>Notariales</t>
  </si>
  <si>
    <t>51400501</t>
  </si>
  <si>
    <t>514010</t>
  </si>
  <si>
    <t xml:space="preserve">Registro mercantil</t>
  </si>
  <si>
    <t>51401001</t>
  </si>
  <si>
    <t>514015</t>
  </si>
  <si>
    <t xml:space="preserve">Tramites y licencias</t>
  </si>
  <si>
    <t>514095</t>
  </si>
  <si>
    <t>51409501</t>
  </si>
  <si>
    <t>5145</t>
  </si>
  <si>
    <t xml:space="preserve">Mantenimiento y reparaciones</t>
  </si>
  <si>
    <t>514510</t>
  </si>
  <si>
    <t>51451001</t>
  </si>
  <si>
    <t xml:space="preserve">Mantenimientos - Construcciones y edificaciones</t>
  </si>
  <si>
    <t>514520</t>
  </si>
  <si>
    <t>51452001</t>
  </si>
  <si>
    <t>514525</t>
  </si>
  <si>
    <t>51452501</t>
  </si>
  <si>
    <t xml:space="preserve">Mantenimiento - Equipo de computación y comunicación</t>
  </si>
  <si>
    <t>514540</t>
  </si>
  <si>
    <t>5150</t>
  </si>
  <si>
    <t xml:space="preserve">Adecuación e instalación</t>
  </si>
  <si>
    <t>515005</t>
  </si>
  <si>
    <t xml:space="preserve">Instalaciones eléctricas</t>
  </si>
  <si>
    <t>515010</t>
  </si>
  <si>
    <t xml:space="preserve">Arreglos ornamentales</t>
  </si>
  <si>
    <t>515015</t>
  </si>
  <si>
    <t xml:space="preserve">Reparaciones locativas</t>
  </si>
  <si>
    <t>51501501</t>
  </si>
  <si>
    <t>515020</t>
  </si>
  <si>
    <t xml:space="preserve">Adecuación de puestos de trabajo</t>
  </si>
  <si>
    <t>5155</t>
  </si>
  <si>
    <t xml:space="preserve">Gastos de viaje</t>
  </si>
  <si>
    <t>515505</t>
  </si>
  <si>
    <t xml:space="preserve">Alojamiento y manutención</t>
  </si>
  <si>
    <t>51550501</t>
  </si>
  <si>
    <t xml:space="preserve">Gastos de viaje - Alojamiento y manutención</t>
  </si>
  <si>
    <t>515515</t>
  </si>
  <si>
    <t xml:space="preserve">Pasajes aéreos</t>
  </si>
  <si>
    <t>51551501</t>
  </si>
  <si>
    <t xml:space="preserve">Gastos de viaje - Pasajes aéreos</t>
  </si>
  <si>
    <t>515520</t>
  </si>
  <si>
    <t xml:space="preserve">Pasajes terrestres</t>
  </si>
  <si>
    <t>51552001</t>
  </si>
  <si>
    <t xml:space="preserve">Gastos de viaje - Pasajes terrestres</t>
  </si>
  <si>
    <t>515595</t>
  </si>
  <si>
    <t xml:space="preserve">Otros gastos de viaje</t>
  </si>
  <si>
    <t>5160</t>
  </si>
  <si>
    <t>Depreciaciones</t>
  </si>
  <si>
    <t>516005</t>
  </si>
  <si>
    <t>516015</t>
  </si>
  <si>
    <t>51601501</t>
  </si>
  <si>
    <t xml:space="preserve">Grupo de activo fijo - Gastos de Depreciación</t>
  </si>
  <si>
    <t>51601597</t>
  </si>
  <si>
    <t xml:space="preserve">Grupo de activo fijo - Gastos de depreciación NIIF</t>
  </si>
  <si>
    <t>516020</t>
  </si>
  <si>
    <t>51602001</t>
  </si>
  <si>
    <t>51602097</t>
  </si>
  <si>
    <t>516035</t>
  </si>
  <si>
    <t>51603501</t>
  </si>
  <si>
    <t>51603597</t>
  </si>
  <si>
    <t xml:space="preserve">D. fiscal flota y equipo de transporte</t>
  </si>
  <si>
    <t>5165</t>
  </si>
  <si>
    <t>Amortizaciones</t>
  </si>
  <si>
    <t>516510</t>
  </si>
  <si>
    <t>516515</t>
  </si>
  <si>
    <t xml:space="preserve">Cargos diferidos</t>
  </si>
  <si>
    <t>5195</t>
  </si>
  <si>
    <t>519510</t>
  </si>
  <si>
    <t xml:space="preserve">Libros suscripciones periódicos y revistas</t>
  </si>
  <si>
    <t>519520</t>
  </si>
  <si>
    <t xml:space="preserve">Gastos de representación y relaciones publicas</t>
  </si>
  <si>
    <t>519525</t>
  </si>
  <si>
    <t xml:space="preserve">Elementos de aseo y cafetería</t>
  </si>
  <si>
    <t>51952501</t>
  </si>
  <si>
    <t>519530</t>
  </si>
  <si>
    <t xml:space="preserve">Útiles papelería y fotocopias</t>
  </si>
  <si>
    <t>51953001</t>
  </si>
  <si>
    <t>519535</t>
  </si>
  <si>
    <t xml:space="preserve">Combustibles y lubricantes</t>
  </si>
  <si>
    <t>51953501</t>
  </si>
  <si>
    <t>519545</t>
  </si>
  <si>
    <t xml:space="preserve">Taxis y buses</t>
  </si>
  <si>
    <t>51954501</t>
  </si>
  <si>
    <t>519560</t>
  </si>
  <si>
    <t xml:space="preserve">Casino y restaurante</t>
  </si>
  <si>
    <t>51956001</t>
  </si>
  <si>
    <t>519565</t>
  </si>
  <si>
    <t>Parqueaderos</t>
  </si>
  <si>
    <t>51956501</t>
  </si>
  <si>
    <t>519595</t>
  </si>
  <si>
    <t>51959501</t>
  </si>
  <si>
    <t>5198</t>
  </si>
  <si>
    <t xml:space="preserve">Deterioro de Cartera</t>
  </si>
  <si>
    <t>519805</t>
  </si>
  <si>
    <t>51980505</t>
  </si>
  <si>
    <t>5199</t>
  </si>
  <si>
    <t>519905</t>
  </si>
  <si>
    <t>Inversiones</t>
  </si>
  <si>
    <t>519910</t>
  </si>
  <si>
    <t>DEUDORES</t>
  </si>
  <si>
    <t>519999</t>
  </si>
  <si>
    <t>51999999</t>
  </si>
  <si>
    <t xml:space="preserve">Pregúntale a tu contador</t>
  </si>
  <si>
    <t xml:space="preserve">Gastos frecuentes</t>
  </si>
  <si>
    <t>52</t>
  </si>
  <si>
    <t>Ventas</t>
  </si>
  <si>
    <t>5205</t>
  </si>
  <si>
    <t>520503</t>
  </si>
  <si>
    <t>52050301</t>
  </si>
  <si>
    <t>52050397</t>
  </si>
  <si>
    <t>520506</t>
  </si>
  <si>
    <t>52050601</t>
  </si>
  <si>
    <t>52050697</t>
  </si>
  <si>
    <t>520512</t>
  </si>
  <si>
    <t>52051201</t>
  </si>
  <si>
    <t>52051297</t>
  </si>
  <si>
    <t>520515</t>
  </si>
  <si>
    <t>52051501</t>
  </si>
  <si>
    <t>52051597</t>
  </si>
  <si>
    <t>520524</t>
  </si>
  <si>
    <t>52052401</t>
  </si>
  <si>
    <t>52052497</t>
  </si>
  <si>
    <t>520527</t>
  </si>
  <si>
    <t>52052701</t>
  </si>
  <si>
    <t>52052797</t>
  </si>
  <si>
    <t>520530</t>
  </si>
  <si>
    <t>52053001</t>
  </si>
  <si>
    <t>52053097</t>
  </si>
  <si>
    <t>520533</t>
  </si>
  <si>
    <t>52053301</t>
  </si>
  <si>
    <t>52053397</t>
  </si>
  <si>
    <t>520536</t>
  </si>
  <si>
    <t>52053601</t>
  </si>
  <si>
    <t>52053697</t>
  </si>
  <si>
    <t>520539</t>
  </si>
  <si>
    <t>52053901</t>
  </si>
  <si>
    <t>52053997</t>
  </si>
  <si>
    <t>520545</t>
  </si>
  <si>
    <t>52054501</t>
  </si>
  <si>
    <t>52054502</t>
  </si>
  <si>
    <t>52054597</t>
  </si>
  <si>
    <t>520548</t>
  </si>
  <si>
    <t>52054801</t>
  </si>
  <si>
    <t>52054897</t>
  </si>
  <si>
    <t>520551</t>
  </si>
  <si>
    <t>52055101</t>
  </si>
  <si>
    <t>52055197</t>
  </si>
  <si>
    <t>520560</t>
  </si>
  <si>
    <t>52056001</t>
  </si>
  <si>
    <t>52056097</t>
  </si>
  <si>
    <t>520563</t>
  </si>
  <si>
    <t>52056301</t>
  </si>
  <si>
    <t>52056397</t>
  </si>
  <si>
    <t>520566</t>
  </si>
  <si>
    <t>52056601</t>
  </si>
  <si>
    <t>52056697</t>
  </si>
  <si>
    <t>520568</t>
  </si>
  <si>
    <t>52056801</t>
  </si>
  <si>
    <t>52056897</t>
  </si>
  <si>
    <t>520569</t>
  </si>
  <si>
    <t>52056901</t>
  </si>
  <si>
    <t>52056997</t>
  </si>
  <si>
    <t>520570</t>
  </si>
  <si>
    <t>52057001</t>
  </si>
  <si>
    <t>52057097</t>
  </si>
  <si>
    <t>520572</t>
  </si>
  <si>
    <t>52057201</t>
  </si>
  <si>
    <t>52057297</t>
  </si>
  <si>
    <t>520575</t>
  </si>
  <si>
    <t>52057501</t>
  </si>
  <si>
    <t>52057597</t>
  </si>
  <si>
    <t>520578</t>
  </si>
  <si>
    <t>52057801</t>
  </si>
  <si>
    <t>52057897</t>
  </si>
  <si>
    <t>520584</t>
  </si>
  <si>
    <t>52058401</t>
  </si>
  <si>
    <t>52058497</t>
  </si>
  <si>
    <t>520595</t>
  </si>
  <si>
    <t>52059501</t>
  </si>
  <si>
    <t>52059597</t>
  </si>
  <si>
    <t>5235</t>
  </si>
  <si>
    <t>523510</t>
  </si>
  <si>
    <t>Temporales</t>
  </si>
  <si>
    <t>523535</t>
  </si>
  <si>
    <t>523540</t>
  </si>
  <si>
    <t>523560</t>
  </si>
  <si>
    <t xml:space="preserve">Publicidad propaganda y promoción</t>
  </si>
  <si>
    <t>52356001</t>
  </si>
  <si>
    <t>Publicidad</t>
  </si>
  <si>
    <t>5255</t>
  </si>
  <si>
    <t>525515</t>
  </si>
  <si>
    <t xml:space="preserve">Pasajes aéreos comercial</t>
  </si>
  <si>
    <t>5295</t>
  </si>
  <si>
    <t>529505</t>
  </si>
  <si>
    <t>52950501</t>
  </si>
  <si>
    <t>529545</t>
  </si>
  <si>
    <t>529595</t>
  </si>
  <si>
    <t xml:space="preserve">Otros diversos</t>
  </si>
  <si>
    <t>52959505</t>
  </si>
  <si>
    <t xml:space="preserve">Gastos diversos POS</t>
  </si>
  <si>
    <t>53</t>
  </si>
  <si>
    <t xml:space="preserve">Otros gastos de actividades ordinarias</t>
  </si>
  <si>
    <t>5305</t>
  </si>
  <si>
    <t>530505</t>
  </si>
  <si>
    <t xml:space="preserve">Gastos bancarios</t>
  </si>
  <si>
    <t>53050501</t>
  </si>
  <si>
    <t>530515</t>
  </si>
  <si>
    <t>53051501</t>
  </si>
  <si>
    <t>530520</t>
  </si>
  <si>
    <t>Intereses</t>
  </si>
  <si>
    <t>53052001</t>
  </si>
  <si>
    <t xml:space="preserve">Intereses corrientes</t>
  </si>
  <si>
    <t>53052002</t>
  </si>
  <si>
    <t xml:space="preserve">Intereses de mora</t>
  </si>
  <si>
    <t>530525</t>
  </si>
  <si>
    <t>530535</t>
  </si>
  <si>
    <t>53053501</t>
  </si>
  <si>
    <t>530550</t>
  </si>
  <si>
    <t xml:space="preserve">GRAVAMEN A LOS MOVIMIENTOS FINANCIEROS            </t>
  </si>
  <si>
    <t>53055001</t>
  </si>
  <si>
    <t>5310</t>
  </si>
  <si>
    <t xml:space="preserve">Perdida en venta y retiro de bienes</t>
  </si>
  <si>
    <t>531030</t>
  </si>
  <si>
    <t xml:space="preserve">Retiro de propiedades planta y equipo</t>
  </si>
  <si>
    <t>5315</t>
  </si>
  <si>
    <t xml:space="preserve">Gastos extraordinarios</t>
  </si>
  <si>
    <t>531515</t>
  </si>
  <si>
    <t xml:space="preserve">Costos y gastos de ejercicios anteriores</t>
  </si>
  <si>
    <t>531520</t>
  </si>
  <si>
    <t xml:space="preserve">Impuestos asumidos</t>
  </si>
  <si>
    <t>53152002</t>
  </si>
  <si>
    <t xml:space="preserve">Otros impuestos asumidos</t>
  </si>
  <si>
    <t>531525</t>
  </si>
  <si>
    <t xml:space="preserve">Costos y gastos no deducibles</t>
  </si>
  <si>
    <t>53152501</t>
  </si>
  <si>
    <t>5395</t>
  </si>
  <si>
    <t xml:space="preserve">Gastos diversos</t>
  </si>
  <si>
    <t>539520</t>
  </si>
  <si>
    <t xml:space="preserve">Multas sanciones y litigios</t>
  </si>
  <si>
    <t>53952001</t>
  </si>
  <si>
    <t>539525</t>
  </si>
  <si>
    <t>Donaciones</t>
  </si>
  <si>
    <t>539581</t>
  </si>
  <si>
    <t>53958101</t>
  </si>
  <si>
    <t>539595</t>
  </si>
  <si>
    <t>53959501</t>
  </si>
  <si>
    <t>54</t>
  </si>
  <si>
    <t xml:space="preserve">Impuesto de renta y complementarios</t>
  </si>
  <si>
    <t>5405</t>
  </si>
  <si>
    <t>540505</t>
  </si>
  <si>
    <t>54050501</t>
  </si>
  <si>
    <t>54050502</t>
  </si>
  <si>
    <t>540510</t>
  </si>
  <si>
    <t>Cree</t>
  </si>
  <si>
    <t>540515</t>
  </si>
  <si>
    <t xml:space="preserve">Impuesto a la riqueza</t>
  </si>
  <si>
    <t>6</t>
  </si>
  <si>
    <t xml:space="preserve">Costos de venta</t>
  </si>
  <si>
    <t>61</t>
  </si>
  <si>
    <t xml:space="preserve">Costo de ventas y de prestación de servicios</t>
  </si>
  <si>
    <t>6135</t>
  </si>
  <si>
    <t>613505</t>
  </si>
  <si>
    <t>61350501</t>
  </si>
  <si>
    <t xml:space="preserve">Costo de ventas</t>
  </si>
  <si>
    <t>6180</t>
  </si>
  <si>
    <t>618001</t>
  </si>
  <si>
    <t>61800101</t>
  </si>
  <si>
    <t>7</t>
  </si>
  <si>
    <t xml:space="preserve">Costos de producción</t>
  </si>
  <si>
    <t>71</t>
  </si>
  <si>
    <t xml:space="preserve">Costos de producción o de operación</t>
  </si>
  <si>
    <t>7105</t>
  </si>
  <si>
    <t>710505</t>
  </si>
  <si>
    <t>71050501</t>
  </si>
  <si>
    <t xml:space="preserve">Materia prima</t>
  </si>
  <si>
    <t>72</t>
  </si>
  <si>
    <t xml:space="preserve">Mano de obra directa</t>
  </si>
  <si>
    <t>7205</t>
  </si>
  <si>
    <t>720503</t>
  </si>
  <si>
    <t>72050301</t>
  </si>
  <si>
    <t>720506</t>
  </si>
  <si>
    <t>72050601</t>
  </si>
  <si>
    <t>720512</t>
  </si>
  <si>
    <t>72051201</t>
  </si>
  <si>
    <t>720515</t>
  </si>
  <si>
    <t>72051501</t>
  </si>
  <si>
    <t>720524</t>
  </si>
  <si>
    <t>72052401</t>
  </si>
  <si>
    <t>720527</t>
  </si>
  <si>
    <t>72052701</t>
  </si>
  <si>
    <t>720530</t>
  </si>
  <si>
    <t>72053001</t>
  </si>
  <si>
    <t>720533</t>
  </si>
  <si>
    <t>72053301</t>
  </si>
  <si>
    <t>720536</t>
  </si>
  <si>
    <t>72053601</t>
  </si>
  <si>
    <t>720539</t>
  </si>
  <si>
    <t>72053901</t>
  </si>
  <si>
    <t>720545</t>
  </si>
  <si>
    <t>720548</t>
  </si>
  <si>
    <t>72054801</t>
  </si>
  <si>
    <t>720551</t>
  </si>
  <si>
    <t>720560</t>
  </si>
  <si>
    <t>72056001</t>
  </si>
  <si>
    <t>720563</t>
  </si>
  <si>
    <t>720566</t>
  </si>
  <si>
    <t>720568</t>
  </si>
  <si>
    <t>72056801</t>
  </si>
  <si>
    <t>720569</t>
  </si>
  <si>
    <t>72056901</t>
  </si>
  <si>
    <t>720570</t>
  </si>
  <si>
    <t>72057001</t>
  </si>
  <si>
    <t>720572</t>
  </si>
  <si>
    <t>72057201</t>
  </si>
  <si>
    <t>720575</t>
  </si>
  <si>
    <t>72057501</t>
  </si>
  <si>
    <t>720578</t>
  </si>
  <si>
    <t>72057801</t>
  </si>
  <si>
    <t>720584</t>
  </si>
  <si>
    <t>720595</t>
  </si>
  <si>
    <t>73</t>
  </si>
  <si>
    <t xml:space="preserve">Costos indirectos</t>
  </si>
  <si>
    <t>7305</t>
  </si>
  <si>
    <t>730505</t>
  </si>
  <si>
    <t>73050501</t>
  </si>
  <si>
    <t>74</t>
  </si>
  <si>
    <t xml:space="preserve">Contratos de servicios</t>
  </si>
  <si>
    <t>7405</t>
  </si>
  <si>
    <t>740505</t>
  </si>
  <si>
    <t>74050501</t>
  </si>
  <si>
    <t>8</t>
  </si>
  <si>
    <t xml:space="preserve">Cuentas de orden deudoras</t>
  </si>
  <si>
    <t>81</t>
  </si>
  <si>
    <t xml:space="preserve">Derechos contingentes</t>
  </si>
  <si>
    <t>9</t>
  </si>
  <si>
    <t xml:space="preserve">Cuentas de orden acreedoras</t>
  </si>
  <si>
    <t>99</t>
  </si>
  <si>
    <t>9999</t>
  </si>
  <si>
    <t xml:space="preserve">Saldos iniciales por conciliar</t>
  </si>
  <si>
    <t>999999</t>
  </si>
  <si>
    <t>99999999</t>
  </si>
  <si>
    <t>Orden</t>
  </si>
  <si>
    <t xml:space="preserve">Cuenta Puente</t>
  </si>
  <si>
    <t xml:space="preserve">Nombre Clase</t>
  </si>
  <si>
    <t xml:space="preserve">Costos de Ventas</t>
  </si>
  <si>
    <t xml:space="preserve">Costos de Servicios</t>
  </si>
  <si>
    <t>Tipo</t>
  </si>
  <si>
    <t>Balance</t>
  </si>
  <si>
    <t>Resultado</t>
  </si>
  <si>
    <t>Grupo</t>
  </si>
  <si>
    <t xml:space="preserve">Nombre Grupo</t>
  </si>
  <si>
    <t>Cuenta</t>
  </si>
  <si>
    <t xml:space="preserve">Nombre Cuenta</t>
  </si>
  <si>
    <t>EBITDA</t>
  </si>
  <si>
    <t>23359503</t>
  </si>
  <si>
    <t xml:space="preserve">Reintegro Caja Menor</t>
  </si>
  <si>
    <t xml:space="preserve">Corto Termino</t>
  </si>
  <si>
    <t xml:space="preserve">Largo Termino</t>
  </si>
  <si>
    <t>Termino</t>
  </si>
  <si>
    <t>NO</t>
  </si>
  <si>
    <t>SI</t>
  </si>
  <si>
    <t>16980505</t>
  </si>
  <si>
    <t xml:space="preserve">Amortización Acumulada</t>
  </si>
  <si>
    <t>51154001</t>
  </si>
  <si>
    <t>51159501</t>
  </si>
  <si>
    <t>51454001</t>
  </si>
  <si>
    <t>51651001</t>
  </si>
  <si>
    <t>53952501</t>
  </si>
  <si>
    <t>1398</t>
  </si>
  <si>
    <t xml:space="preserve">Causacin automtica ventas (sistema)</t>
  </si>
  <si>
    <t>15280502</t>
  </si>
  <si>
    <t xml:space="preserve">Marcas y Patentes</t>
  </si>
  <si>
    <t>1698</t>
  </si>
  <si>
    <t>169805</t>
  </si>
  <si>
    <t>169815</t>
  </si>
  <si>
    <t xml:space="preserve">D. fiscal de uso</t>
  </si>
  <si>
    <t>16981597</t>
  </si>
  <si>
    <t xml:space="preserve">D. fiscal de uso </t>
  </si>
  <si>
    <t>2299</t>
  </si>
  <si>
    <t xml:space="preserve">Causación automática compras (sistema)</t>
  </si>
  <si>
    <t>229999</t>
  </si>
  <si>
    <t>42950502</t>
  </si>
  <si>
    <t>OtherIncomes</t>
  </si>
  <si>
    <t>51651097</t>
  </si>
  <si>
    <t xml:space="preserve">D. fiscal intangibles</t>
  </si>
  <si>
    <t>(Todas)</t>
  </si>
  <si>
    <t>Clase2</t>
  </si>
  <si>
    <t xml:space="preserve">Total general</t>
  </si>
  <si>
    <t xml:space="preserve">Otros Gastos De Actividades Ordinarias</t>
  </si>
  <si>
    <t xml:space="preserve">Impuesto De Renta Y Complementarios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</si>
</sst>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4.000000"/>
      <color indexed="65"/>
      <name val="Calibri"/>
    </font>
    <font>
      <b/>
      <sz val="30.000000"/>
      <color indexed="65"/>
      <name val="Calibri"/>
    </font>
    <font>
      <b/>
      <sz val="11.000000"/>
      <color indexed="64"/>
      <name val="Calibri"/>
    </font>
    <font>
      <sz val="11.000000"/>
      <color indexed="6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  <fill>
      <patternFill patternType="solid">
        <fgColor rgb="FF92D050"/>
        <bgColor/>
      </patternFill>
    </fill>
    <fill>
      <patternFill patternType="solid">
        <fgColor theme="4"/>
        <bgColor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indexed="64"/>
      </bottom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1">
    <xf fontId="0" fillId="0" borderId="0" numFmtId="0"/>
  </cellStyleXfs>
  <cellXfs count="18">
    <xf fontId="0" fillId="0" borderId="0" numFmtId="0" xfId="0"/>
    <xf fontId="0" fillId="0" borderId="0" numFmtId="0" xfId="0"/>
    <xf fontId="3" fillId="3" borderId="2" numFmtId="0" xfId="0" applyFont="1" applyFill="1" applyBorder="1" applyAlignment="1">
      <alignment horizontal="center" vertical="center" wrapText="1"/>
    </xf>
    <xf fontId="4" fillId="0" borderId="0" numFmtId="49" xfId="0" applyNumberFormat="1" applyFont="1" applyAlignment="1">
      <alignment horizontal="left" vertical="center"/>
    </xf>
    <xf fontId="3" fillId="3" borderId="3" numFmtId="0" xfId="0" applyFont="1" applyFill="1" applyBorder="1" applyAlignment="1">
      <alignment horizontal="center" vertical="center" wrapText="1"/>
    </xf>
    <xf fontId="0" fillId="0" borderId="0" numFmtId="0" xfId="0"/>
    <xf fontId="0" fillId="0" borderId="0" numFmtId="0" xfId="0"/>
    <xf fontId="0" fillId="0" borderId="0" numFmtId="0" xfId="0"/>
    <xf fontId="0" fillId="4" borderId="0" numFmtId="0" xfId="0" applyFill="1"/>
    <xf fontId="4" fillId="4" borderId="0" numFmtId="49" xfId="0" applyNumberFormat="1" applyFont="1" applyFill="1" applyAlignment="1">
      <alignment horizontal="left" vertical="center"/>
    </xf>
    <xf fontId="0" fillId="0" borderId="0" numFmtId="0" xfId="0"/>
    <xf fontId="4" fillId="5" borderId="0" numFmtId="49" xfId="0" applyNumberFormat="1" applyFont="1" applyFill="1" applyAlignment="1">
      <alignment horizontal="left" vertical="center"/>
    </xf>
    <xf fontId="0" fillId="5" borderId="0" numFmtId="0" xfId="0" applyFill="1"/>
    <xf fontId="0" fillId="0" borderId="0" numFmtId="0" xfId="0"/>
    <xf fontId="0" fillId="0" borderId="0" numFmtId="0" xfId="0" pivotButton="1"/>
    <xf fontId="0" fillId="0" borderId="0" numFmtId="0" xfId="0"/>
    <xf fontId="1" fillId="2" borderId="1" numFmtId="0" xfId="0" applyFont="1" applyFill="1" applyBorder="1" applyAlignment="1">
      <alignment horizontal="center"/>
    </xf>
    <xf fontId="2" fillId="2" borderId="1" numFmtId="0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OBOOK" refreshedDate="46005.076215162037" createdVersion="8" refreshedVersion="8" minRefreshableVersion="3" recordCount="445" xr:uid="{A5039420-8C5C-4EB6-9A42-2C969318B8D0}">
  <cacheSource type="worksheet">
    <worksheetSource ref="A1:S446" sheet="Accounts"/>
  </cacheSource>
  <cacheFields count="19">
    <cacheField name="Orden" numFmtId="0">
      <sharedItems containsSemiMixedTypes="0" containsString="0" containsNumber="1" containsInteger="1" minValue="5" maxValue="862"/>
    </cacheField>
    <cacheField name="Código" numFmtId="49">
      <sharedItems/>
    </cacheField>
    <cacheField name="Nombre" numFmtId="49">
      <sharedItems/>
    </cacheField>
    <cacheField name="Categoría" numFmtId="49">
      <sharedItems count="17">
        <s v="Caja - Bancos"/>
        <s v="Otros activos"/>
        <s v="Cuentas por cobrar"/>
        <s v="Otros activos corrientes"/>
        <s v="Inventarios"/>
        <s v="Activos fijos"/>
        <s v="Costo de ventas"/>
        <s v="Gasto - Nómina"/>
        <s v="Orden"/>
        <s v="Gastos"/>
        <s v="Otros gastos"/>
        <s v="Ingresos"/>
        <s v="Otros ingresos"/>
        <s v="Otros pasivos"/>
        <s v="Cuentas por pagar"/>
        <s v="Pasivo corto plazo"/>
        <s v="Patrimonio"/>
      </sharedItems>
    </cacheField>
    <cacheField name="Clase" numFmtId="49">
      <sharedItems count="8">
        <s v="Activo"/>
        <s v="Costos de producción o de operación"/>
        <s v="Costos de venta"/>
        <s v="Cuentas de orden acreedoras"/>
        <s v="Gastos"/>
        <s v="Ingresos"/>
        <s v="Pasivo"/>
        <s v="Patrimonio"/>
      </sharedItems>
    </cacheField>
    <cacheField name="Relación con" numFmtId="49">
      <sharedItems/>
    </cacheField>
    <cacheField name="Maneja vencimientos" numFmtId="49">
      <sharedItems/>
    </cacheField>
    <cacheField name="Diferencia fiscal" numFmtId="49">
      <sharedItems/>
    </cacheField>
    <cacheField name="Activo" numFmtId="49">
      <sharedItems/>
    </cacheField>
    <cacheField name="Nivel agrupación" numFmtId="49">
      <sharedItems/>
    </cacheField>
    <cacheField name="Clase2" numFmtId="0">
      <sharedItems containsSemiMixedTypes="0" containsString="0" containsNumber="1" containsInteger="1" minValue="1" maxValue="9" count="8">
        <n v="1"/>
        <n v="7"/>
        <n v="6"/>
        <n v="9"/>
        <n v="5"/>
        <n v="4"/>
        <n v="2"/>
        <n v="3"/>
      </sharedItems>
    </cacheField>
    <cacheField name="Nombre Clase" numFmtId="0">
      <sharedItems/>
    </cacheField>
    <cacheField name="Tipo" numFmtId="0">
      <sharedItems count="3">
        <s v="Balance"/>
        <s v="Resultado"/>
        <s v="Orden"/>
      </sharedItems>
    </cacheField>
    <cacheField name="Grupo" numFmtId="0">
      <sharedItems count="35">
        <s v="11"/>
        <s v="12"/>
        <s v="13"/>
        <s v="14"/>
        <s v="15"/>
        <s v="16"/>
        <s v="17"/>
        <s v="18"/>
        <s v="19"/>
        <s v="71"/>
        <s v="72"/>
        <s v="73"/>
        <s v="74"/>
        <s v="61"/>
        <s v="99"/>
        <s v="51"/>
        <s v="52"/>
        <s v="53"/>
        <s v="54"/>
        <s v="41"/>
        <s v="42"/>
        <s v="43"/>
        <s v="44"/>
        <s v="21"/>
        <s v="22"/>
        <s v="23"/>
        <s v="24"/>
        <s v="25"/>
        <s v="28"/>
        <s v="31"/>
        <s v="32"/>
        <s v="33"/>
        <s v="36"/>
        <s v="37"/>
        <s v="39"/>
      </sharedItems>
    </cacheField>
    <cacheField name="Nombre Grupo" numFmtId="0">
      <sharedItems count="35">
        <s v="Efectivo Y Equivalentes De Efectivo"/>
        <s v="Inversiones En Asociadas"/>
        <s v="Deudores Comerciales Y Otras Cuentas Por Cobrar"/>
        <s v="Inventarios"/>
        <s v="Propiedad Planta Y Equipo"/>
        <s v="Intangibles"/>
        <s v="Otros Activos No Financieros"/>
        <s v="Impuesto corriente"/>
        <s v="Otros Activos Financieros"/>
        <s v="Costos De Producción O De Operación"/>
        <s v="Mano De Obra Directa"/>
        <s v="Costos Indirectos"/>
        <s v="Contratos De Servicios"/>
        <s v="Costo De Ventas Y De Prestación De Servicios"/>
        <s v="Cuentas De Orden Acreedoras"/>
        <s v="Administrativos"/>
        <s v="Ventas"/>
        <s v="Otros Gastos De Actividades Ordinarias"/>
        <s v="Impuesto De Renta Y Complementarios"/>
        <s v="Ingresos De Actividades Ordinarias"/>
        <s v="Otros Ingresos De Actividades Ordinarias"/>
        <s v="Ganancias"/>
        <s v="Ingresos Fiscales"/>
        <s v="Pasivos Financieros"/>
        <s v="Proveedores"/>
        <s v="Acreedores Comerciales Y Otras Cuentas Por Pagar"/>
        <s v="Pasivos Por Impuestos"/>
        <s v="Beneficios A Empleados"/>
        <s v="Pasivos No Financieros"/>
        <s v="Capital Social"/>
        <s v="Superávit De Capital"/>
        <s v="Reservas"/>
        <s v="Resultados Del Ejercicio                          "/>
        <s v="Resultados De Ejercicios Anteriores"/>
        <s v="Afectaciones Fiscales De Ingresos Y Gastos"/>
      </sharedItems>
    </cacheField>
    <cacheField name="Cuenta" numFmtId="0">
      <sharedItems count="92">
        <s v="1105"/>
        <s v="1110"/>
        <s v="1120"/>
        <s v="1145"/>
        <s v="1205"/>
        <s v="1295"/>
        <s v="1305"/>
        <s v="1325"/>
        <s v="1330"/>
        <s v="1355"/>
        <s v="1365"/>
        <s v="1380"/>
        <s v="1399"/>
        <s v="1435"/>
        <s v="1498"/>
        <s v="1504"/>
        <s v="1516"/>
        <s v="1524"/>
        <s v="1528"/>
        <s v="1540"/>
        <s v="1592"/>
        <s v="1635"/>
        <s v="1720"/>
        <s v="1805"/>
        <s v="1945"/>
        <s v="7105"/>
        <s v="7205"/>
        <s v="7305"/>
        <s v="7405"/>
        <s v="6135"/>
        <s v="6180"/>
        <s v="9999"/>
        <s v="5105"/>
        <s v="5110"/>
        <s v="5115"/>
        <s v="5120"/>
        <s v="5130"/>
        <s v="5135"/>
        <s v="5140"/>
        <s v="5145"/>
        <s v="5150"/>
        <s v="5155"/>
        <s v="5160"/>
        <s v="5195"/>
        <s v="5198"/>
        <s v="5199"/>
        <s v="5205"/>
        <s v="5235"/>
        <s v="5295"/>
        <s v="5305"/>
        <s v="5315"/>
        <s v="5395"/>
        <s v="5405"/>
        <s v="4135"/>
        <s v="4155"/>
        <s v="4175"/>
        <s v="4180"/>
        <s v="4210"/>
        <s v="4218"/>
        <s v="4295"/>
        <s v="4305"/>
        <s v="4405"/>
        <s v="4410"/>
        <s v="2105"/>
        <s v="2110"/>
        <s v="2205"/>
        <s v="2210"/>
        <s v="2305"/>
        <s v="2335"/>
        <s v="2355"/>
        <s v="2365"/>
        <s v="2367"/>
        <s v="2368"/>
        <s v="2370"/>
        <s v="2380"/>
        <s v="2404"/>
        <s v="2408"/>
        <s v="2464"/>
        <s v="2495"/>
        <s v="2505"/>
        <s v="2510"/>
        <s v="2805"/>
        <s v="2815"/>
        <s v="3105"/>
        <s v="3205"/>
        <s v="3305"/>
        <s v="3605"/>
        <s v="3705"/>
        <s v="3710"/>
        <s v="3905"/>
        <s v="1698"/>
        <s v="5165"/>
      </sharedItems>
    </cacheField>
    <cacheField name="Nombre Cuenta" numFmtId="0">
      <sharedItems count="84">
        <s v="Caja"/>
        <s v="Bancos"/>
        <s v="Cuentas de ahorro"/>
        <s v="Inversiones en efectivo"/>
        <s v="Acciones"/>
        <s v="Acciones o derechos en clubes deportivos"/>
        <s v="Clientes nacionales"/>
        <s v="Cuentas por cobrar a socios y accionistas"/>
        <s v="Anticipos y avances"/>
        <s v="Anticipo de impuestos y contribuciones o"/>
        <s v="Cuentas por cobrar a trabajadores"/>
        <s v="Deudores varios"/>
        <s v="Provisiones"/>
        <s v="Mercancías no fabricadas por la empresa"/>
        <s v="Otros"/>
        <s v="Terrenos"/>
        <s v="Construcciones y edificaciones"/>
        <s v="Equipo de oficina"/>
        <s v="Equipo de computación y comunicación"/>
        <s v="Flota y equipo de transporte"/>
        <s v="Depreciación acumulada"/>
        <s v="Licencias"/>
        <s v="Entidades controladas en forma conjunta"/>
        <s v="Impuesto corriente"/>
        <s v="De inversiones"/>
        <s v="Costos de producción o de operación"/>
        <s v="Mano de obra directa"/>
        <s v="Costos indirectos"/>
        <s v="Contratos de servicios"/>
        <s v="Comercio al por mayor y al por menor"/>
        <s v="Servicios"/>
        <e v="#N/A"/>
        <s v="Gastos de personal"/>
        <s v="Honorarios"/>
        <s v="Impuestos"/>
        <s v="Arrendamientos"/>
        <s v="Seguros"/>
        <s v="Gastos legales"/>
        <s v="Mantenimiento y reparaciones"/>
        <s v="Adecuación e instalación"/>
        <s v="Gastos de viaje"/>
        <s v="Depreciaciones"/>
        <s v="Diversos"/>
        <s v="Deterioro de Cartera"/>
        <s v="Otros gastos"/>
        <s v="Financieros"/>
        <s v="Gastos extraordinarios"/>
        <s v="Gastos diversos"/>
        <s v="Impuesto de renta y complementarios"/>
        <s v="Comercio al por mayor y al detal"/>
        <s v="ACTIVIDADES INMOBILIARIAS  EMPRESARIALES"/>
        <s v="Devolución en ventas"/>
        <s v="Ingresos método de participación"/>
        <s v="Propiedad planta y equipo"/>
        <s v="Ingresos por ganancia ocasional"/>
        <s v="Ingresos renta ordinaria"/>
        <s v="Bancos nacionales"/>
        <s v="Depósitos recibidos"/>
        <s v="Proveedores nacionales"/>
        <s v="Proveedores del exterior"/>
        <s v="Cuentas corrientes comerciales"/>
        <s v="Costos y gastos por pagar"/>
        <s v="DEUDAS CON ACCIONISTAS O SOCIOS                   "/>
        <s v="Retenciones en la fuente"/>
        <s v="Impuesto a las ventas retenido"/>
        <s v="Impuesto de industria y comercio retenido"/>
        <s v="Aportes a empresas promotoras de salud eps"/>
        <s v="Acreedores varios"/>
        <s v="De renta y complementarios corriente"/>
        <s v="Impuesto sobre las ventas por pagar"/>
        <s v="De licores, cervezas y cigarrillos"/>
        <s v="Salarios por pagar"/>
        <s v="Pasivo estimado para obligaciones laborales"/>
        <s v="Anticipos y avances recibidos"/>
        <s v="Ingresos recibidos para terceros"/>
        <s v="Capital suscrito y pagado"/>
        <s v="Prima en colocación de acciones cuotas o partes d"/>
        <s v="Reservas obligatorias"/>
        <s v="RESULTADOS DEL EJERCICIO                          "/>
        <s v="Resultados de ejercicios anteriores"/>
        <s v="Convergencia"/>
        <s v="Resultados fiscales de ventas en ganancia ocasional"/>
        <s v="Amortización Acumulada"/>
        <s v="Amortizaciones"/>
      </sharedItems>
    </cacheField>
    <cacheField name="EBITDA" numFmtId="0">
      <sharedItems/>
    </cacheField>
    <cacheField name="Termino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n v="5"/>
    <s v="11050501"/>
    <s v="Caja general"/>
    <x v="0"/>
    <x v="0"/>
    <s v="Sin asignar"/>
    <s v="No maneja vencimiento"/>
    <s v="No"/>
    <s v="Sí"/>
    <s v="Transaccional"/>
    <x v="0"/>
    <s v="Activo"/>
    <x v="0"/>
    <x v="0"/>
    <x v="0"/>
    <x v="0"/>
    <x v="0"/>
    <s v="NO"/>
    <s v="Corto Termino"/>
  </r>
  <r>
    <n v="7"/>
    <s v="11051001"/>
    <s v="Cajas menores"/>
    <x v="0"/>
    <x v="0"/>
    <s v="Sin asignar"/>
    <s v="No maneja vencimiento"/>
    <s v="No"/>
    <s v="Sí"/>
    <s v="Transaccional"/>
    <x v="0"/>
    <s v="Activo"/>
    <x v="0"/>
    <x v="0"/>
    <x v="0"/>
    <x v="0"/>
    <x v="0"/>
    <s v="NO"/>
    <s v="Corto Termino"/>
  </r>
  <r>
    <n v="8"/>
    <s v="11051002"/>
    <s v="Caja Menor Admon"/>
    <x v="0"/>
    <x v="0"/>
    <s v="Sin asignar"/>
    <s v="No maneja vencimiento"/>
    <s v="No"/>
    <s v="Sí"/>
    <s v="Transaccional"/>
    <x v="0"/>
    <s v="Activo"/>
    <x v="0"/>
    <x v="0"/>
    <x v="0"/>
    <x v="0"/>
    <x v="0"/>
    <s v="NO"/>
    <s v="Corto Termino"/>
  </r>
  <r>
    <n v="11"/>
    <s v="11100501"/>
    <s v="Moneda nacional"/>
    <x v="0"/>
    <x v="0"/>
    <s v="Sin asignar"/>
    <s v="No maneja vencimiento"/>
    <s v="No"/>
    <s v="Sí"/>
    <s v="Transaccional"/>
    <x v="0"/>
    <s v="Activo"/>
    <x v="0"/>
    <x v="0"/>
    <x v="0"/>
    <x v="1"/>
    <x v="1"/>
    <s v="NO"/>
    <s v="Corto Termino"/>
  </r>
  <r>
    <n v="12"/>
    <s v="11100502"/>
    <s v="Pagos en línea"/>
    <x v="0"/>
    <x v="0"/>
    <s v="Formas de pago"/>
    <s v="No maneja vencimiento"/>
    <s v="No"/>
    <s v="Sí"/>
    <s v="Transaccional"/>
    <x v="0"/>
    <s v="Activo"/>
    <x v="0"/>
    <x v="0"/>
    <x v="0"/>
    <x v="1"/>
    <x v="1"/>
    <s v="NO"/>
    <s v="Corto Termino"/>
  </r>
  <r>
    <n v="13"/>
    <s v="11100503"/>
    <s v="Pagos en línea Mercado Pago"/>
    <x v="0"/>
    <x v="0"/>
    <s v="Formas de pago"/>
    <s v="No maneja vencimiento"/>
    <s v="No"/>
    <s v="Sí"/>
    <s v="Transaccional"/>
    <x v="0"/>
    <s v="Activo"/>
    <x v="0"/>
    <x v="0"/>
    <x v="0"/>
    <x v="1"/>
    <x v="1"/>
    <s v="NO"/>
    <s v="Corto Termino"/>
  </r>
  <r>
    <n v="16"/>
    <s v="11200501"/>
    <s v="BANCOLOMBIA CUENTA AHORROS 206-000311-48          "/>
    <x v="0"/>
    <x v="0"/>
    <s v="Sin asignar"/>
    <s v="No maneja vencimiento"/>
    <s v="No"/>
    <s v="Sí"/>
    <s v="Transaccional"/>
    <x v="0"/>
    <s v="Activo"/>
    <x v="0"/>
    <x v="0"/>
    <x v="0"/>
    <x v="2"/>
    <x v="2"/>
    <s v="NO"/>
    <s v="Corto Termino"/>
  </r>
  <r>
    <n v="17"/>
    <s v="11200502"/>
    <s v="CAJA SOCIAL CUENTA AHORROS 24097494078            "/>
    <x v="0"/>
    <x v="0"/>
    <s v="Sin asignar"/>
    <s v="No maneja vencimiento"/>
    <s v="No"/>
    <s v="Sí"/>
    <s v="Transaccional"/>
    <x v="0"/>
    <s v="Activo"/>
    <x v="0"/>
    <x v="0"/>
    <x v="0"/>
    <x v="2"/>
    <x v="2"/>
    <s v="NO"/>
    <s v="Corto Termino"/>
  </r>
  <r>
    <n v="20"/>
    <s v="11450501"/>
    <s v="Fiducias"/>
    <x v="0"/>
    <x v="0"/>
    <s v="Sin asignar"/>
    <s v="No maneja vencimiento"/>
    <s v="No"/>
    <s v="Sí"/>
    <s v="Transaccional"/>
    <x v="0"/>
    <s v="Activo"/>
    <x v="0"/>
    <x v="0"/>
    <x v="0"/>
    <x v="3"/>
    <x v="3"/>
    <s v="NO"/>
    <s v="Corto Termino"/>
  </r>
  <r>
    <n v="21"/>
    <s v="11450597"/>
    <s v="D. fiscal fiducias"/>
    <x v="0"/>
    <x v="0"/>
    <s v="Sin asignar"/>
    <s v="No maneja vencimiento"/>
    <s v="Sí"/>
    <s v="Sí"/>
    <s v="Transaccional"/>
    <x v="0"/>
    <s v="Activo"/>
    <x v="0"/>
    <x v="0"/>
    <x v="0"/>
    <x v="3"/>
    <x v="3"/>
    <s v="NO"/>
    <s v="Corto Termino"/>
  </r>
  <r>
    <n v="25"/>
    <s v="12053501"/>
    <s v="Comercio al por mayor y al por menor"/>
    <x v="1"/>
    <x v="0"/>
    <s v="Sin asignar"/>
    <s v="No maneja vencimiento"/>
    <s v="No"/>
    <s v="Sí"/>
    <s v="Transaccional"/>
    <x v="0"/>
    <s v="Activo"/>
    <x v="0"/>
    <x v="1"/>
    <x v="1"/>
    <x v="4"/>
    <x v="4"/>
    <s v="NO"/>
    <s v="Corto Termino"/>
  </r>
  <r>
    <n v="26"/>
    <s v="12053502"/>
    <s v="Reajuste fiscal"/>
    <x v="1"/>
    <x v="0"/>
    <s v="Sin asignar"/>
    <s v="No maneja vencimiento"/>
    <s v="No"/>
    <s v="Sí"/>
    <s v="Transaccional"/>
    <x v="0"/>
    <s v="Activo"/>
    <x v="0"/>
    <x v="1"/>
    <x v="1"/>
    <x v="4"/>
    <x v="4"/>
    <s v="NO"/>
    <s v="Corto Termino"/>
  </r>
  <r>
    <n v="27"/>
    <s v="12053503"/>
    <s v="Método de participación"/>
    <x v="1"/>
    <x v="0"/>
    <s v="Sin asignar"/>
    <s v="No maneja vencimiento"/>
    <s v="No"/>
    <s v="Sí"/>
    <s v="Transaccional"/>
    <x v="0"/>
    <s v="Activo"/>
    <x v="0"/>
    <x v="1"/>
    <x v="1"/>
    <x v="4"/>
    <x v="4"/>
    <s v="NO"/>
    <s v="Corto Termino"/>
  </r>
  <r>
    <n v="30"/>
    <s v="12951501"/>
    <s v="Acciones o derechos en clubes deportivos"/>
    <x v="1"/>
    <x v="0"/>
    <s v="Sin asignar"/>
    <s v="No maneja vencimiento"/>
    <s v="No"/>
    <s v="Sí"/>
    <s v="Transaccional"/>
    <x v="0"/>
    <s v="Activo"/>
    <x v="0"/>
    <x v="1"/>
    <x v="1"/>
    <x v="5"/>
    <x v="5"/>
    <s v="NO"/>
    <s v="Corto Termino"/>
  </r>
  <r>
    <n v="32"/>
    <s v="12959501"/>
    <s v="Otras inversiones"/>
    <x v="1"/>
    <x v="0"/>
    <s v="Sin asignar"/>
    <s v="No maneja vencimiento"/>
    <s v="No"/>
    <s v="Sí"/>
    <s v="Transaccional"/>
    <x v="0"/>
    <s v="Activo"/>
    <x v="0"/>
    <x v="1"/>
    <x v="1"/>
    <x v="5"/>
    <x v="5"/>
    <s v="NO"/>
    <s v="Corto Termino"/>
  </r>
  <r>
    <n v="36"/>
    <s v="13050501"/>
    <s v="Clientes nacionales"/>
    <x v="2"/>
    <x v="0"/>
    <s v="Sin asignar"/>
    <s v="Con vencimiento en cartera"/>
    <s v="No"/>
    <s v="Sí"/>
    <s v="Transaccional"/>
    <x v="0"/>
    <s v="Activo"/>
    <x v="0"/>
    <x v="2"/>
    <x v="2"/>
    <x v="6"/>
    <x v="6"/>
    <s v="NO"/>
    <s v="Corto Termino"/>
  </r>
  <r>
    <n v="38"/>
    <s v="13051001"/>
    <s v="Clientes del exterior"/>
    <x v="2"/>
    <x v="0"/>
    <s v="Sin asignar"/>
    <s v="No maneja vencimiento"/>
    <s v="No"/>
    <s v="Sí"/>
    <s v="Transaccional"/>
    <x v="0"/>
    <s v="Activo"/>
    <x v="0"/>
    <x v="2"/>
    <x v="2"/>
    <x v="6"/>
    <x v="6"/>
    <s v="NO"/>
    <s v="Corto Termino"/>
  </r>
  <r>
    <n v="41"/>
    <s v="13251001"/>
    <s v="A accionistas"/>
    <x v="2"/>
    <x v="0"/>
    <s v="Sin asignar"/>
    <s v="No maneja vencimiento"/>
    <s v="No"/>
    <s v="Sí"/>
    <s v="Transaccional"/>
    <x v="0"/>
    <s v="Activo"/>
    <x v="0"/>
    <x v="2"/>
    <x v="2"/>
    <x v="7"/>
    <x v="7"/>
    <s v="NO"/>
    <s v="Corto Termino"/>
  </r>
  <r>
    <n v="44"/>
    <s v="13300501"/>
    <s v="A proveedores"/>
    <x v="2"/>
    <x v="0"/>
    <s v="Sin asignar"/>
    <s v="Con vencimiento en proveedores"/>
    <s v="No"/>
    <s v="Sí"/>
    <s v="Transaccional"/>
    <x v="0"/>
    <s v="Activo"/>
    <x v="0"/>
    <x v="2"/>
    <x v="2"/>
    <x v="8"/>
    <x v="8"/>
    <s v="NO"/>
    <s v="Corto Termino"/>
  </r>
  <r>
    <n v="45"/>
    <s v="13300597"/>
    <s v="D. fiscal a proveedores"/>
    <x v="2"/>
    <x v="0"/>
    <s v="Sin asignar"/>
    <s v="No maneja vencimiento"/>
    <s v="Sí"/>
    <s v="Sí"/>
    <s v="Transaccional"/>
    <x v="0"/>
    <s v="Activo"/>
    <x v="0"/>
    <x v="2"/>
    <x v="2"/>
    <x v="8"/>
    <x v="8"/>
    <s v="NO"/>
    <s v="Corto Termino"/>
  </r>
  <r>
    <n v="47"/>
    <s v="13301001"/>
    <s v="A contratistas"/>
    <x v="2"/>
    <x v="0"/>
    <s v="Sin asignar"/>
    <s v="No maneja vencimiento"/>
    <s v="No"/>
    <s v="Sí"/>
    <s v="Transaccional"/>
    <x v="0"/>
    <s v="Activo"/>
    <x v="0"/>
    <x v="2"/>
    <x v="2"/>
    <x v="8"/>
    <x v="8"/>
    <s v="NO"/>
    <s v="Corto Termino"/>
  </r>
  <r>
    <n v="48"/>
    <s v="13301097"/>
    <s v="D. fiscal a contratistas"/>
    <x v="2"/>
    <x v="0"/>
    <s v="Sin asignar"/>
    <s v="No maneja vencimiento"/>
    <s v="Sí"/>
    <s v="Sí"/>
    <s v="Transaccional"/>
    <x v="0"/>
    <s v="Activo"/>
    <x v="0"/>
    <x v="2"/>
    <x v="2"/>
    <x v="8"/>
    <x v="8"/>
    <s v="NO"/>
    <s v="Corto Termino"/>
  </r>
  <r>
    <n v="50"/>
    <s v="13301501"/>
    <s v="Eventos"/>
    <x v="2"/>
    <x v="0"/>
    <s v="Sin asignar"/>
    <s v="No maneja vencimiento"/>
    <s v="No"/>
    <s v="Sí"/>
    <s v="Transaccional"/>
    <x v="0"/>
    <s v="Activo"/>
    <x v="0"/>
    <x v="2"/>
    <x v="2"/>
    <x v="8"/>
    <x v="8"/>
    <s v="NO"/>
    <s v="Corto Termino"/>
  </r>
  <r>
    <n v="51"/>
    <s v="13301502"/>
    <s v="Otros"/>
    <x v="2"/>
    <x v="0"/>
    <s v="Sin asignar"/>
    <s v="No maneja vencimiento"/>
    <s v="No"/>
    <s v="Sí"/>
    <s v="Transaccional"/>
    <x v="0"/>
    <s v="Activo"/>
    <x v="0"/>
    <x v="2"/>
    <x v="2"/>
    <x v="8"/>
    <x v="8"/>
    <s v="NO"/>
    <s v="Corto Termino"/>
  </r>
  <r>
    <n v="52"/>
    <s v="13301597"/>
    <s v="D. fiscal anticipos a trabajadores"/>
    <x v="2"/>
    <x v="0"/>
    <s v="Sin asignar"/>
    <s v="No maneja vencimiento"/>
    <s v="Sí"/>
    <s v="Sí"/>
    <s v="Transaccional"/>
    <x v="0"/>
    <s v="Activo"/>
    <x v="0"/>
    <x v="2"/>
    <x v="2"/>
    <x v="8"/>
    <x v="8"/>
    <s v="NO"/>
    <s v="Corto Termino"/>
  </r>
  <r>
    <n v="54"/>
    <s v="13309501"/>
    <s v="Otros"/>
    <x v="2"/>
    <x v="0"/>
    <s v="Sin asignar"/>
    <s v="No maneja vencimiento"/>
    <s v="No"/>
    <s v="Sí"/>
    <s v="Transaccional"/>
    <x v="0"/>
    <s v="Activo"/>
    <x v="0"/>
    <x v="2"/>
    <x v="2"/>
    <x v="8"/>
    <x v="8"/>
    <s v="NO"/>
    <s v="Corto Termino"/>
  </r>
  <r>
    <n v="57"/>
    <s v="13551001"/>
    <s v="Anticipo de impuestos de industria y com."/>
    <x v="2"/>
    <x v="0"/>
    <s v="Sin asignar"/>
    <s v="No maneja vencimiento"/>
    <s v="No"/>
    <s v="Sí"/>
    <s v="Transaccional"/>
    <x v="0"/>
    <s v="Activo"/>
    <x v="0"/>
    <x v="2"/>
    <x v="2"/>
    <x v="9"/>
    <x v="9"/>
    <s v="NO"/>
    <s v="Corto Termino"/>
  </r>
  <r>
    <n v="59"/>
    <s v="13551501"/>
    <s v="Anticipo Retención en la fuente 2,5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0"/>
    <s v="13551502"/>
    <s v="Devolución Retención en la fuente 2,5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1"/>
    <s v="13551503"/>
    <s v="Anticipo Retención en la fuente 4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2"/>
    <s v="13551504"/>
    <s v="Devolución Retención en la fuente 4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3"/>
    <s v="13551505"/>
    <s v="Anticipo Retención en la fuente 6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4"/>
    <s v="13551506"/>
    <s v="Devolución retención en la fuente 6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5"/>
    <s v="13551507"/>
    <s v="Anticipo Retención en la fuente 10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6"/>
    <s v="13551508"/>
    <s v="Devolución Retención en la fuente 10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7"/>
    <s v="13551509"/>
    <s v="Anticipo Retención en la fuente 11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8"/>
    <s v="13551510"/>
    <s v="Devolución en ventas Retefuente 11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69"/>
    <s v="13551511"/>
    <s v="Anticipo Retención en la fuente 7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0"/>
    <s v="13551512"/>
    <s v="Devolución Retención en la fuente 7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1"/>
    <s v="13551513"/>
    <s v="Anticipo Retención en la fuente 3,5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2"/>
    <s v="13551514"/>
    <s v="Devolución Retención en la fuente 3,5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3"/>
    <s v="13551515"/>
    <s v="Anticipo Retención en la fuente 2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4"/>
    <s v="13551516"/>
    <s v="Devolución Retención en la fuente 2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5"/>
    <s v="13551517"/>
    <s v="Anticipo Retención en la fuente 1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6"/>
    <s v="13551518"/>
    <s v="Devolución Retención en la fuente 1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8"/>
    <s v="13551701"/>
    <s v="Impuesto a las ventas retenido 15%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79"/>
    <s v="13551702"/>
    <s v="Devolución impuesto a las ventas retenido 15%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1"/>
    <s v="13551801"/>
    <s v="Rete Ica 11,04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2"/>
    <s v="13551802"/>
    <s v="Devolución Rete Ica 11,04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3"/>
    <s v="13551803"/>
    <s v="Rete Ica 13,08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4"/>
    <s v="13551804"/>
    <s v="Devolución Rete Ica 13,08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5"/>
    <s v="13551805"/>
    <s v="Rete Ica 9,66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6"/>
    <s v="13551806"/>
    <s v="Devolución Rete Ica 9,66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7"/>
    <s v="13551807"/>
    <s v="Rete Ica 8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8"/>
    <s v="13551808"/>
    <s v="Devolución Rete Ica 8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89"/>
    <s v="13551809"/>
    <s v="Rete Ica 7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90"/>
    <s v="13551810"/>
    <s v="Devolución Rete Ica 7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91"/>
    <s v="13551811"/>
    <s v="Rete Ica 6.9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92"/>
    <s v="13551812"/>
    <s v="Devolución Rete Ica 6.9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93"/>
    <s v="13551813"/>
    <s v="Rete Ica 4"/>
    <x v="2"/>
    <x v="0"/>
    <s v="Impuestos -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94"/>
    <s v="13551814"/>
    <s v="Devolución Rete Ica 4"/>
    <x v="2"/>
    <x v="0"/>
    <s v="Impuestos - Devolución ventas"/>
    <s v="No maneja vencimiento"/>
    <s v="No"/>
    <s v="Sí"/>
    <s v="Transaccional"/>
    <x v="0"/>
    <s v="Activo"/>
    <x v="0"/>
    <x v="2"/>
    <x v="2"/>
    <x v="9"/>
    <x v="9"/>
    <s v="NO"/>
    <s v="Corto Termino"/>
  </r>
  <r>
    <n v="95"/>
    <s v="13551815"/>
    <s v="Impuesto de industria y comercio retenido"/>
    <x v="2"/>
    <x v="0"/>
    <s v="Sin asignar"/>
    <s v="No maneja vencimiento"/>
    <s v="No"/>
    <s v="Sí"/>
    <s v="Transaccional"/>
    <x v="0"/>
    <s v="Activo"/>
    <x v="0"/>
    <x v="2"/>
    <x v="2"/>
    <x v="9"/>
    <x v="9"/>
    <s v="NO"/>
    <s v="Corto Termino"/>
  </r>
  <r>
    <n v="96"/>
    <s v="13551816"/>
    <s v="Autorretencion impuesto de industria y comercio"/>
    <x v="2"/>
    <x v="0"/>
    <s v="Sin asignar"/>
    <s v="No maneja vencimiento"/>
    <s v="No"/>
    <s v="Sí"/>
    <s v="Transaccional"/>
    <x v="0"/>
    <s v="Activo"/>
    <x v="0"/>
    <x v="2"/>
    <x v="2"/>
    <x v="9"/>
    <x v="9"/>
    <s v="NO"/>
    <s v="Corto Termino"/>
  </r>
  <r>
    <n v="97"/>
    <s v="13551817"/>
    <s v="Autorretencion avisos y tableros"/>
    <x v="2"/>
    <x v="0"/>
    <s v="Sin asignar"/>
    <s v="No maneja vencimiento"/>
    <s v="No"/>
    <s v="Sí"/>
    <s v="Transaccional"/>
    <x v="0"/>
    <s v="Activo"/>
    <x v="0"/>
    <x v="2"/>
    <x v="2"/>
    <x v="9"/>
    <x v="9"/>
    <s v="NO"/>
    <s v="Corto Termino"/>
  </r>
  <r>
    <n v="98"/>
    <s v="13551818"/>
    <s v="Anticipo de impuesto de industria y comercio"/>
    <x v="2"/>
    <x v="0"/>
    <s v="Sin asignar"/>
    <s v="No maneja vencimiento"/>
    <s v="No"/>
    <s v="Sí"/>
    <s v="Transaccional"/>
    <x v="0"/>
    <s v="Activo"/>
    <x v="0"/>
    <x v="2"/>
    <x v="2"/>
    <x v="9"/>
    <x v="9"/>
    <s v="NO"/>
    <s v="Corto Termino"/>
  </r>
  <r>
    <n v="100"/>
    <s v="13551901"/>
    <s v="ANTICIPO -2593- RST REGIMEN SIMPLE TRIBUTACION    "/>
    <x v="3"/>
    <x v="0"/>
    <s v="Sin asignar"/>
    <s v="No maneja vencimiento"/>
    <s v="No"/>
    <s v="Sí"/>
    <s v="Transaccional"/>
    <x v="0"/>
    <s v="Activo"/>
    <x v="0"/>
    <x v="2"/>
    <x v="2"/>
    <x v="9"/>
    <x v="9"/>
    <s v="NO"/>
    <s v="Corto Termino"/>
  </r>
  <r>
    <n v="101"/>
    <s v="13551902"/>
    <s v="DECLARACION ANUAL RST REGIMEN SIMPLE TRIBUTACION  "/>
    <x v="3"/>
    <x v="0"/>
    <s v="Sin asignar"/>
    <s v="No maneja vencimiento"/>
    <s v="No"/>
    <s v="Sí"/>
    <s v="Transaccional"/>
    <x v="0"/>
    <s v="Activo"/>
    <x v="0"/>
    <x v="2"/>
    <x v="2"/>
    <x v="9"/>
    <x v="9"/>
    <s v="NO"/>
    <s v="Corto Termino"/>
  </r>
  <r>
    <n v="104"/>
    <s v="13651501"/>
    <s v="Educación"/>
    <x v="2"/>
    <x v="0"/>
    <s v="Sin asignar"/>
    <s v="No maneja vencimiento"/>
    <s v="No"/>
    <s v="Sí"/>
    <s v="Transaccional"/>
    <x v="0"/>
    <s v="Activo"/>
    <x v="0"/>
    <x v="2"/>
    <x v="2"/>
    <x v="10"/>
    <x v="10"/>
    <s v="NO"/>
    <s v="Corto Termino"/>
  </r>
  <r>
    <n v="106"/>
    <s v="13652501"/>
    <s v="Calamidad domestica"/>
    <x v="2"/>
    <x v="0"/>
    <s v="Sin asignar"/>
    <s v="No maneja vencimiento"/>
    <s v="No"/>
    <s v="Sí"/>
    <s v="Transaccional"/>
    <x v="0"/>
    <s v="Activo"/>
    <x v="0"/>
    <x v="2"/>
    <x v="2"/>
    <x v="10"/>
    <x v="10"/>
    <s v="NO"/>
    <s v="Corto Termino"/>
  </r>
  <r>
    <n v="109"/>
    <s v="13809501"/>
    <s v="Incapacidades"/>
    <x v="2"/>
    <x v="0"/>
    <s v="Sin asignar"/>
    <s v="No maneja vencimiento"/>
    <s v="No"/>
    <s v="Sí"/>
    <s v="Transaccional"/>
    <x v="0"/>
    <s v="Activo"/>
    <x v="0"/>
    <x v="2"/>
    <x v="2"/>
    <x v="11"/>
    <x v="11"/>
    <s v="NO"/>
    <s v="Corto Termino"/>
  </r>
  <r>
    <n v="110"/>
    <s v="13809502"/>
    <s v="Otros deudores"/>
    <x v="2"/>
    <x v="0"/>
    <s v="Sin asignar"/>
    <s v="No maneja vencimiento"/>
    <s v="No"/>
    <s v="Sí"/>
    <s v="Transaccional"/>
    <x v="0"/>
    <s v="Activo"/>
    <x v="0"/>
    <x v="2"/>
    <x v="2"/>
    <x v="11"/>
    <x v="11"/>
    <s v="NO"/>
    <s v="Corto Termino"/>
  </r>
  <r>
    <n v="113"/>
    <s v="13990501"/>
    <s v="Clientes"/>
    <x v="2"/>
    <x v="0"/>
    <s v="Sin asignar"/>
    <s v="No maneja vencimiento"/>
    <s v="No"/>
    <s v="Sí"/>
    <s v="Transaccional"/>
    <x v="0"/>
    <s v="Activo"/>
    <x v="0"/>
    <x v="2"/>
    <x v="2"/>
    <x v="12"/>
    <x v="12"/>
    <s v="NO"/>
    <s v="Corto Termino"/>
  </r>
  <r>
    <n v="114"/>
    <s v="13990597"/>
    <s v="D. fiscal clientes"/>
    <x v="2"/>
    <x v="0"/>
    <s v="Sin asignar"/>
    <s v="No maneja vencimiento"/>
    <s v="Sí"/>
    <s v="Sí"/>
    <s v="Transaccional"/>
    <x v="0"/>
    <s v="Activo"/>
    <x v="0"/>
    <x v="2"/>
    <x v="2"/>
    <x v="12"/>
    <x v="12"/>
    <s v="NO"/>
    <s v="Corto Termino"/>
  </r>
  <r>
    <n v="118"/>
    <s v="14350101"/>
    <s v="Mercancías no fabricadas"/>
    <x v="4"/>
    <x v="0"/>
    <s v="Sin asignar"/>
    <s v="No maneja vencimiento"/>
    <s v="No"/>
    <s v="Sí"/>
    <s v="Transaccional"/>
    <x v="0"/>
    <s v="Activo"/>
    <x v="0"/>
    <x v="3"/>
    <x v="3"/>
    <x v="13"/>
    <x v="13"/>
    <s v="NO"/>
    <s v="Corto Termino"/>
  </r>
  <r>
    <n v="121"/>
    <s v="14980101"/>
    <s v="Otros"/>
    <x v="4"/>
    <x v="0"/>
    <s v="Sin asignar"/>
    <s v="No maneja vencimiento"/>
    <s v="No"/>
    <s v="Sí"/>
    <s v="Transaccional"/>
    <x v="0"/>
    <s v="Activo"/>
    <x v="0"/>
    <x v="3"/>
    <x v="3"/>
    <x v="14"/>
    <x v="14"/>
    <s v="NO"/>
    <s v="Corto Termino"/>
  </r>
  <r>
    <n v="125"/>
    <s v="15040505"/>
    <s v="Urbanos"/>
    <x v="5"/>
    <x v="0"/>
    <s v="Sin asignar"/>
    <s v="No maneja vencimiento"/>
    <s v="No"/>
    <s v="Sí"/>
    <s v="Transaccional"/>
    <x v="0"/>
    <s v="Activo"/>
    <x v="0"/>
    <x v="4"/>
    <x v="4"/>
    <x v="15"/>
    <x v="15"/>
    <s v="NO"/>
    <s v="Largo Termino"/>
  </r>
  <r>
    <n v="126"/>
    <s v="15040597"/>
    <s v="D. fiscal revaluación urbanos"/>
    <x v="5"/>
    <x v="0"/>
    <s v="Sin asignar"/>
    <s v="No maneja vencimiento"/>
    <s v="Sí"/>
    <s v="Sí"/>
    <s v="Transaccional"/>
    <x v="0"/>
    <s v="Activo"/>
    <x v="0"/>
    <x v="4"/>
    <x v="4"/>
    <x v="15"/>
    <x v="15"/>
    <s v="NO"/>
    <s v="Largo Termino"/>
  </r>
  <r>
    <n v="129"/>
    <s v="15160501"/>
    <s v="Edificios"/>
    <x v="5"/>
    <x v="0"/>
    <s v="Sin asignar"/>
    <s v="No maneja vencimiento"/>
    <s v="No"/>
    <s v="Sí"/>
    <s v="Transaccional"/>
    <x v="0"/>
    <s v="Activo"/>
    <x v="0"/>
    <x v="4"/>
    <x v="4"/>
    <x v="16"/>
    <x v="16"/>
    <s v="NO"/>
    <s v="Largo Termino"/>
  </r>
  <r>
    <n v="130"/>
    <s v="15160597"/>
    <s v="D. fiscal edificios"/>
    <x v="5"/>
    <x v="0"/>
    <s v="Sin asignar"/>
    <s v="No maneja vencimiento"/>
    <s v="Sí"/>
    <s v="Sí"/>
    <s v="Transaccional"/>
    <x v="0"/>
    <s v="Activo"/>
    <x v="0"/>
    <x v="4"/>
    <x v="4"/>
    <x v="16"/>
    <x v="16"/>
    <s v="NO"/>
    <s v="Largo Termino"/>
  </r>
  <r>
    <n v="132"/>
    <s v="15161001"/>
    <s v="Oficinas"/>
    <x v="5"/>
    <x v="0"/>
    <s v="Sin asignar"/>
    <s v="No maneja vencimiento"/>
    <s v="No"/>
    <s v="Sí"/>
    <s v="Transaccional"/>
    <x v="0"/>
    <s v="Activo"/>
    <x v="0"/>
    <x v="4"/>
    <x v="4"/>
    <x v="16"/>
    <x v="16"/>
    <s v="NO"/>
    <s v="Largo Termino"/>
  </r>
  <r>
    <n v="133"/>
    <s v="15161097"/>
    <s v="D. fiscal revaluación construcciones"/>
    <x v="5"/>
    <x v="0"/>
    <s v="Sin asignar"/>
    <s v="No maneja vencimiento"/>
    <s v="Sí"/>
    <s v="Sí"/>
    <s v="Transaccional"/>
    <x v="0"/>
    <s v="Activo"/>
    <x v="0"/>
    <x v="4"/>
    <x v="4"/>
    <x v="16"/>
    <x v="16"/>
    <s v="NO"/>
    <s v="Largo Termino"/>
  </r>
  <r>
    <n v="136"/>
    <s v="15240501"/>
    <s v="Muebles y enseres"/>
    <x v="5"/>
    <x v="0"/>
    <s v="Grupo de activo fijo - Valor de compra"/>
    <s v="No maneja vencimiento"/>
    <s v="No"/>
    <s v="Sí"/>
    <s v="Transaccional"/>
    <x v="0"/>
    <s v="Activo"/>
    <x v="0"/>
    <x v="4"/>
    <x v="4"/>
    <x v="17"/>
    <x v="17"/>
    <s v="NO"/>
    <s v="Largo Termino"/>
  </r>
  <r>
    <n v="137"/>
    <s v="15240597"/>
    <s v="D. fiscal muebles y enseres"/>
    <x v="5"/>
    <x v="0"/>
    <s v="Sin asignar"/>
    <s v="No maneja vencimiento"/>
    <s v="Sí"/>
    <s v="Sí"/>
    <s v="Transaccional"/>
    <x v="0"/>
    <s v="Activo"/>
    <x v="0"/>
    <x v="4"/>
    <x v="4"/>
    <x v="17"/>
    <x v="17"/>
    <s v="NO"/>
    <s v="Largo Termino"/>
  </r>
  <r>
    <n v="139"/>
    <s v="15241001"/>
    <s v="Equipos"/>
    <x v="5"/>
    <x v="0"/>
    <s v="Sin asignar"/>
    <s v="No maneja vencimiento"/>
    <s v="No"/>
    <s v="Sí"/>
    <s v="Transaccional"/>
    <x v="0"/>
    <s v="Activo"/>
    <x v="0"/>
    <x v="4"/>
    <x v="4"/>
    <x v="17"/>
    <x v="17"/>
    <s v="NO"/>
    <s v="Largo Termino"/>
  </r>
  <r>
    <n v="140"/>
    <s v="15241097"/>
    <s v="D. fiscal equipos"/>
    <x v="5"/>
    <x v="0"/>
    <s v="Sin asignar"/>
    <s v="No maneja vencimiento"/>
    <s v="Sí"/>
    <s v="Sí"/>
    <s v="Transaccional"/>
    <x v="0"/>
    <s v="Activo"/>
    <x v="0"/>
    <x v="4"/>
    <x v="4"/>
    <x v="17"/>
    <x v="17"/>
    <s v="NO"/>
    <s v="Largo Termino"/>
  </r>
  <r>
    <n v="143"/>
    <s v="15280501"/>
    <s v="Equipos de procesamiento de datos"/>
    <x v="5"/>
    <x v="0"/>
    <s v="Grupo de activo fijo - Valor de compra"/>
    <s v="No maneja vencimiento"/>
    <s v="No"/>
    <s v="Sí"/>
    <s v="Transaccional"/>
    <x v="0"/>
    <s v="Activo"/>
    <x v="0"/>
    <x v="4"/>
    <x v="4"/>
    <x v="18"/>
    <x v="18"/>
    <s v="NO"/>
    <s v="Largo Termino"/>
  </r>
  <r>
    <n v="144"/>
    <s v="15280597"/>
    <s v="D. fiscal equipos de procesamiento de datos"/>
    <x v="5"/>
    <x v="0"/>
    <s v="Sin asignar"/>
    <s v="No maneja vencimiento"/>
    <s v="Sí"/>
    <s v="Sí"/>
    <s v="Transaccional"/>
    <x v="0"/>
    <s v="Activo"/>
    <x v="0"/>
    <x v="4"/>
    <x v="4"/>
    <x v="18"/>
    <x v="18"/>
    <s v="NO"/>
    <s v="Largo Termino"/>
  </r>
  <r>
    <n v="147"/>
    <s v="15400501"/>
    <s v="Vehículos "/>
    <x v="5"/>
    <x v="0"/>
    <s v="Grupo de activo fijo - Valor de compra"/>
    <s v="No maneja vencimiento"/>
    <s v="No"/>
    <s v="Sí"/>
    <s v="Transaccional"/>
    <x v="0"/>
    <s v="Activo"/>
    <x v="0"/>
    <x v="4"/>
    <x v="4"/>
    <x v="19"/>
    <x v="19"/>
    <s v="NO"/>
    <s v="Largo Termino"/>
  </r>
  <r>
    <n v="148"/>
    <s v="15400597"/>
    <s v="D. fiscal vehículos "/>
    <x v="5"/>
    <x v="0"/>
    <s v="Sin asignar"/>
    <s v="No maneja vencimiento"/>
    <s v="Sí"/>
    <s v="Sí"/>
    <s v="Transaccional"/>
    <x v="0"/>
    <s v="Activo"/>
    <x v="0"/>
    <x v="4"/>
    <x v="4"/>
    <x v="19"/>
    <x v="19"/>
    <s v="NO"/>
    <s v="Largo Termino"/>
  </r>
  <r>
    <n v="151"/>
    <s v="15920501"/>
    <s v="Construcciones y edificaciones"/>
    <x v="5"/>
    <x v="0"/>
    <s v="Sin asignar"/>
    <s v="No maneja vencimiento"/>
    <s v="No"/>
    <s v="Sí"/>
    <s v="Transaccional"/>
    <x v="0"/>
    <s v="Activo"/>
    <x v="0"/>
    <x v="4"/>
    <x v="4"/>
    <x v="20"/>
    <x v="20"/>
    <s v="NO"/>
    <s v="Largo Termino"/>
  </r>
  <r>
    <n v="152"/>
    <s v="15920597"/>
    <s v="D. fiscal valor de salvamento construcciones"/>
    <x v="5"/>
    <x v="0"/>
    <s v="Sin asignar"/>
    <s v="No maneja vencimiento"/>
    <s v="Sí"/>
    <s v="Sí"/>
    <s v="Transaccional"/>
    <x v="0"/>
    <s v="Activo"/>
    <x v="0"/>
    <x v="4"/>
    <x v="4"/>
    <x v="20"/>
    <x v="20"/>
    <s v="NO"/>
    <s v="Largo Termino"/>
  </r>
  <r>
    <n v="154"/>
    <s v="15921501"/>
    <s v="Equipo de oficina"/>
    <x v="5"/>
    <x v="0"/>
    <s v="Grupo de activo fijo - Depreciación"/>
    <s v="No maneja vencimiento"/>
    <s v="No"/>
    <s v="Sí"/>
    <s v="Transaccional"/>
    <x v="0"/>
    <s v="Activo"/>
    <x v="0"/>
    <x v="4"/>
    <x v="4"/>
    <x v="20"/>
    <x v="20"/>
    <s v="NO"/>
    <s v="Largo Termino"/>
  </r>
  <r>
    <n v="155"/>
    <s v="15921597"/>
    <s v="D. fiscal equipo de oficina"/>
    <x v="5"/>
    <x v="0"/>
    <s v="Grupo de activo fijo - Depreciación NIIF"/>
    <s v="No maneja vencimiento"/>
    <s v="Sí"/>
    <s v="Sí"/>
    <s v="Transaccional"/>
    <x v="0"/>
    <s v="Activo"/>
    <x v="0"/>
    <x v="4"/>
    <x v="4"/>
    <x v="20"/>
    <x v="20"/>
    <s v="NO"/>
    <s v="Largo Termino"/>
  </r>
  <r>
    <n v="157"/>
    <s v="15922001"/>
    <s v="Equipo de computación y comunicación"/>
    <x v="5"/>
    <x v="0"/>
    <s v="Grupo de activo fijo - Depreciación"/>
    <s v="No maneja vencimiento"/>
    <s v="No"/>
    <s v="Sí"/>
    <s v="Transaccional"/>
    <x v="0"/>
    <s v="Activo"/>
    <x v="0"/>
    <x v="4"/>
    <x v="4"/>
    <x v="20"/>
    <x v="20"/>
    <s v="NO"/>
    <s v="Largo Termino"/>
  </r>
  <r>
    <n v="158"/>
    <s v="15922097"/>
    <s v="D. fiscal equipo de computación y comunicación"/>
    <x v="5"/>
    <x v="0"/>
    <s v="Grupo de activo fijo - Depreciación NIIF"/>
    <s v="No maneja vencimiento"/>
    <s v="Sí"/>
    <s v="Sí"/>
    <s v="Transaccional"/>
    <x v="0"/>
    <s v="Activo"/>
    <x v="0"/>
    <x v="4"/>
    <x v="4"/>
    <x v="20"/>
    <x v="20"/>
    <s v="NO"/>
    <s v="Largo Termino"/>
  </r>
  <r>
    <n v="160"/>
    <s v="15923501"/>
    <s v="Flota y equipo de transporte"/>
    <x v="5"/>
    <x v="0"/>
    <s v="Grupo de activo fijo - Depreciación"/>
    <s v="No maneja vencimiento"/>
    <s v="No"/>
    <s v="Sí"/>
    <s v="Transaccional"/>
    <x v="0"/>
    <s v="Activo"/>
    <x v="0"/>
    <x v="4"/>
    <x v="4"/>
    <x v="20"/>
    <x v="20"/>
    <s v="NO"/>
    <s v="Largo Termino"/>
  </r>
  <r>
    <n v="161"/>
    <s v="15923597"/>
    <s v="D. fiscal depreciación flota"/>
    <x v="5"/>
    <x v="0"/>
    <s v="Grupo de activo fijo - Depreciación NIIF"/>
    <s v="No maneja vencimiento"/>
    <s v="Sí"/>
    <s v="Sí"/>
    <s v="Transaccional"/>
    <x v="0"/>
    <s v="Activo"/>
    <x v="0"/>
    <x v="4"/>
    <x v="4"/>
    <x v="20"/>
    <x v="20"/>
    <s v="NO"/>
    <s v="Largo Termino"/>
  </r>
  <r>
    <n v="165"/>
    <s v="16350101"/>
    <s v="Derecho de uso"/>
    <x v="1"/>
    <x v="0"/>
    <s v="Sin asignar"/>
    <s v="No maneja vencimiento"/>
    <s v="No"/>
    <s v="Sí"/>
    <s v="Transaccional"/>
    <x v="0"/>
    <s v="Activo"/>
    <x v="0"/>
    <x v="5"/>
    <x v="5"/>
    <x v="21"/>
    <x v="21"/>
    <s v="NO"/>
    <s v="Largo Termino"/>
  </r>
  <r>
    <n v="166"/>
    <s v="16350197"/>
    <s v="D. fiscal derecho de uso"/>
    <x v="1"/>
    <x v="0"/>
    <s v="Sin asignar"/>
    <s v="No maneja vencimiento"/>
    <s v="Sí"/>
    <s v="Sí"/>
    <s v="Transaccional"/>
    <x v="0"/>
    <s v="Activo"/>
    <x v="0"/>
    <x v="5"/>
    <x v="5"/>
    <x v="21"/>
    <x v="21"/>
    <s v="NO"/>
    <s v="Largo Termino"/>
  </r>
  <r>
    <n v="168"/>
    <s v="16351501"/>
    <s v="Marca adquirida"/>
    <x v="1"/>
    <x v="0"/>
    <s v="Sin asignar"/>
    <s v="No maneja vencimiento"/>
    <s v="No"/>
    <s v="Sí"/>
    <s v="Transaccional"/>
    <x v="0"/>
    <s v="Activo"/>
    <x v="0"/>
    <x v="5"/>
    <x v="5"/>
    <x v="21"/>
    <x v="21"/>
    <s v="NO"/>
    <s v="Largo Termino"/>
  </r>
  <r>
    <n v="169"/>
    <s v="16351597"/>
    <s v="D. fiscal marca adquirida"/>
    <x v="1"/>
    <x v="0"/>
    <s v="Sin asignar"/>
    <s v="No maneja vencimiento"/>
    <s v="Sí"/>
    <s v="Sí"/>
    <s v="Transaccional"/>
    <x v="0"/>
    <s v="Activo"/>
    <x v="0"/>
    <x v="5"/>
    <x v="5"/>
    <x v="21"/>
    <x v="21"/>
    <s v="NO"/>
    <s v="Largo Termino"/>
  </r>
  <r>
    <n v="173"/>
    <s v="17202001"/>
    <s v="Negocios conjuntos"/>
    <x v="1"/>
    <x v="0"/>
    <s v="Sin asignar"/>
    <s v="No maneja vencimiento"/>
    <s v="No"/>
    <s v="Sí"/>
    <s v="Transaccional"/>
    <x v="0"/>
    <s v="Activo"/>
    <x v="0"/>
    <x v="6"/>
    <x v="6"/>
    <x v="22"/>
    <x v="22"/>
    <s v="NO"/>
    <s v="Largo Termino"/>
  </r>
  <r>
    <n v="177"/>
    <s v="18050501"/>
    <s v="Autorretencion servicios"/>
    <x v="1"/>
    <x v="0"/>
    <s v="Sin asignar"/>
    <s v="No maneja vencimiento"/>
    <s v="No"/>
    <s v="Sí"/>
    <s v="Transaccional"/>
    <x v="0"/>
    <s v="Activo"/>
    <x v="0"/>
    <x v="7"/>
    <x v="7"/>
    <x v="23"/>
    <x v="23"/>
    <s v="NO"/>
    <s v="Corto Termino"/>
  </r>
  <r>
    <n v="178"/>
    <s v="18050502"/>
    <s v="Retención en la fuente compras 1.5%"/>
    <x v="1"/>
    <x v="0"/>
    <s v="Sin asignar"/>
    <s v="No maneja vencimiento"/>
    <s v="No"/>
    <s v="Sí"/>
    <s v="Transaccional"/>
    <x v="0"/>
    <s v="Activo"/>
    <x v="0"/>
    <x v="7"/>
    <x v="7"/>
    <x v="23"/>
    <x v="23"/>
    <s v="NO"/>
    <s v="Corto Termino"/>
  </r>
  <r>
    <n v="179"/>
    <s v="18050503"/>
    <s v="Tarjetas de crédito"/>
    <x v="1"/>
    <x v="0"/>
    <s v="Sin asignar"/>
    <s v="No maneja vencimiento"/>
    <s v="No"/>
    <s v="Sí"/>
    <s v="Transaccional"/>
    <x v="0"/>
    <s v="Activo"/>
    <x v="0"/>
    <x v="7"/>
    <x v="7"/>
    <x v="23"/>
    <x v="23"/>
    <s v="NO"/>
    <s v="Corto Termino"/>
  </r>
  <r>
    <n v="180"/>
    <s v="18050504"/>
    <s v="Servicios 6%"/>
    <x v="1"/>
    <x v="0"/>
    <s v="Sin asignar"/>
    <s v="No maneja vencimiento"/>
    <s v="No"/>
    <s v="Sí"/>
    <s v="Transaccional"/>
    <x v="0"/>
    <s v="Activo"/>
    <x v="0"/>
    <x v="7"/>
    <x v="7"/>
    <x v="23"/>
    <x v="23"/>
    <s v="NO"/>
    <s v="Corto Termino"/>
  </r>
  <r>
    <n v="181"/>
    <s v="18050505"/>
    <s v="Autorretencion"/>
    <x v="1"/>
    <x v="0"/>
    <s v="Sin asignar"/>
    <s v="No maneja vencimiento"/>
    <s v="No"/>
    <s v="Sí"/>
    <s v="Transaccional"/>
    <x v="0"/>
    <s v="Activo"/>
    <x v="0"/>
    <x v="7"/>
    <x v="7"/>
    <x v="23"/>
    <x v="23"/>
    <s v="NO"/>
    <s v="Corto Termino"/>
  </r>
  <r>
    <n v="182"/>
    <s v="18050506"/>
    <s v="Anticipo sobretasa cree"/>
    <x v="1"/>
    <x v="0"/>
    <s v="Sin asignar"/>
    <s v="No maneja vencimiento"/>
    <s v="No"/>
    <s v="Sí"/>
    <s v="Transaccional"/>
    <x v="0"/>
    <s v="Activo"/>
    <x v="0"/>
    <x v="7"/>
    <x v="7"/>
    <x v="23"/>
    <x v="23"/>
    <s v="NO"/>
    <s v="Corto Termino"/>
  </r>
  <r>
    <n v="183"/>
    <s v="18050507"/>
    <s v="Sobrantes en liquidación privada de impuestos"/>
    <x v="1"/>
    <x v="0"/>
    <s v="Sin asignar"/>
    <s v="No maneja vencimiento"/>
    <s v="No"/>
    <s v="Sí"/>
    <s v="Transaccional"/>
    <x v="0"/>
    <s v="Activo"/>
    <x v="0"/>
    <x v="7"/>
    <x v="7"/>
    <x v="23"/>
    <x v="23"/>
    <s v="NO"/>
    <s v="Corto Termino"/>
  </r>
  <r>
    <n v="187"/>
    <s v="19451001"/>
    <s v="De inversiones"/>
    <x v="1"/>
    <x v="0"/>
    <s v="Sin asignar"/>
    <s v="No maneja vencimiento"/>
    <s v="No"/>
    <s v="Sí"/>
    <s v="Transaccional"/>
    <x v="0"/>
    <s v="Activo"/>
    <x v="0"/>
    <x v="8"/>
    <x v="8"/>
    <x v="24"/>
    <x v="24"/>
    <s v="NO"/>
    <s v="Corto Termino"/>
  </r>
  <r>
    <n v="803"/>
    <s v="71050501"/>
    <s v="Materia prima"/>
    <x v="6"/>
    <x v="1"/>
    <s v="Sin asignar"/>
    <s v="No maneja vencimiento"/>
    <s v="No"/>
    <s v="Sí"/>
    <s v="Transaccional"/>
    <x v="1"/>
    <s v="Costos de Servicios"/>
    <x v="1"/>
    <x v="9"/>
    <x v="9"/>
    <x v="25"/>
    <x v="25"/>
    <s v="SI"/>
    <n v="0"/>
  </r>
  <r>
    <n v="807"/>
    <s v="72050301"/>
    <s v="Salario integral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09"/>
    <s v="72050601"/>
    <s v="Sueldo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11"/>
    <s v="72051201"/>
    <s v="Apoyo sostenimiento aprendice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13"/>
    <s v="72051501"/>
    <s v="Horas extras y recargo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15"/>
    <s v="72052401"/>
    <s v="Incapacidade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17"/>
    <s v="72052701"/>
    <s v="Auxilio de transporte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19"/>
    <s v="72053001"/>
    <s v="Cesantía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21"/>
    <s v="72053301"/>
    <s v="Intereses sobre cesantía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23"/>
    <s v="72053601"/>
    <s v="Prima de servicio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25"/>
    <s v="72053901"/>
    <s v="Vacacione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28"/>
    <s v="72054801"/>
    <s v="Bonificacione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31"/>
    <s v="72056001"/>
    <s v="Indemnizaciones laborale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35"/>
    <s v="72056801"/>
    <s v="Aportes a administradora de riesgos laborale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37"/>
    <s v="72056901"/>
    <s v="Aportes a entidades promotoras de salud ep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39"/>
    <s v="72057001"/>
    <s v="Aporte a fondos de pensión y/o cesantías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41"/>
    <s v="72057201"/>
    <s v="Aportes cajas de compensación familiar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43"/>
    <s v="72057501"/>
    <s v="Aportes icbf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45"/>
    <s v="72057801"/>
    <s v="Aportes Sena"/>
    <x v="7"/>
    <x v="1"/>
    <s v="Sin asignar"/>
    <s v="No maneja vencimiento"/>
    <s v="No"/>
    <s v="Sí"/>
    <s v="Transaccional"/>
    <x v="1"/>
    <s v="Costos de Servicios"/>
    <x v="1"/>
    <x v="10"/>
    <x v="10"/>
    <x v="26"/>
    <x v="26"/>
    <s v="SI"/>
    <n v="0"/>
  </r>
  <r>
    <n v="851"/>
    <s v="73050501"/>
    <s v="Costos indirectos"/>
    <x v="6"/>
    <x v="1"/>
    <s v="Sin asignar"/>
    <s v="No maneja vencimiento"/>
    <s v="No"/>
    <s v="Sí"/>
    <s v="Transaccional"/>
    <x v="1"/>
    <s v="Costos de Servicios"/>
    <x v="1"/>
    <x v="11"/>
    <x v="11"/>
    <x v="27"/>
    <x v="27"/>
    <s v="SI"/>
    <n v="0"/>
  </r>
  <r>
    <n v="855"/>
    <s v="74050501"/>
    <s v="Contratos de servicios"/>
    <x v="6"/>
    <x v="1"/>
    <s v="Sin asignar"/>
    <s v="No maneja vencimiento"/>
    <s v="No"/>
    <s v="Sí"/>
    <s v="Transaccional"/>
    <x v="1"/>
    <s v="Costos de Servicios"/>
    <x v="1"/>
    <x v="12"/>
    <x v="12"/>
    <x v="28"/>
    <x v="28"/>
    <s v="SI"/>
    <n v="0"/>
  </r>
  <r>
    <n v="795"/>
    <s v="61350501"/>
    <s v="Comercio al por mayor y al por menor"/>
    <x v="6"/>
    <x v="2"/>
    <s v="Sin asignar"/>
    <s v="No maneja vencimiento"/>
    <s v="No"/>
    <s v="Sí"/>
    <s v="Transaccional"/>
    <x v="2"/>
    <s v="Costos de Ventas"/>
    <x v="1"/>
    <x v="13"/>
    <x v="13"/>
    <x v="29"/>
    <x v="29"/>
    <s v="SI"/>
    <n v="0"/>
  </r>
  <r>
    <n v="798"/>
    <s v="61800101"/>
    <s v="Servicios"/>
    <x v="6"/>
    <x v="2"/>
    <s v="Sin asignar"/>
    <s v="No maneja vencimiento"/>
    <s v="No"/>
    <s v="Sí"/>
    <s v="Transaccional"/>
    <x v="2"/>
    <s v="Costos de Ventas"/>
    <x v="1"/>
    <x v="13"/>
    <x v="13"/>
    <x v="30"/>
    <x v="30"/>
    <s v="SI"/>
    <n v="0"/>
  </r>
  <r>
    <n v="862"/>
    <s v="99999999"/>
    <s v="Saldos iniciales por conciliar"/>
    <x v="8"/>
    <x v="3"/>
    <s v="Cuenta Puente"/>
    <s v="No maneja vencimiento"/>
    <s v="No"/>
    <s v="Sí"/>
    <s v="Transaccional"/>
    <x v="3"/>
    <s v="Orden"/>
    <x v="2"/>
    <x v="14"/>
    <x v="14"/>
    <x v="31"/>
    <x v="31"/>
    <s v="NO"/>
    <n v="0"/>
  </r>
  <r>
    <n v="464"/>
    <s v="51050301"/>
    <s v="Salario integral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65"/>
    <s v="51050397"/>
    <s v="D. fiscal salario integral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67"/>
    <s v="51050601"/>
    <s v="Sueldo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68"/>
    <s v="51050697"/>
    <s v="D. fiscal sueldo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70"/>
    <s v="51051201"/>
    <s v="Apoyo sostenimiento aprendice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71"/>
    <s v="51051297"/>
    <s v="D. fiscal apoyo sostenimiento aprendice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73"/>
    <s v="51051501"/>
    <s v="Horas extras y recargo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74"/>
    <s v="51051597"/>
    <s v="D. fiscal horas extras y recargo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76"/>
    <s v="51052401"/>
    <s v="Incapacidade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77"/>
    <s v="51052497"/>
    <s v="D. fiscal incapacidade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79"/>
    <s v="51052701"/>
    <s v="Auxilio de transporte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80"/>
    <s v="51052797"/>
    <s v="D. fiscal auxilio de transporte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82"/>
    <s v="51053001"/>
    <s v="Cesantía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83"/>
    <s v="51053097"/>
    <s v="D. fiscal cesantía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85"/>
    <s v="51053301"/>
    <s v="Intereses sobre cesantía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86"/>
    <s v="51053397"/>
    <s v="D. fiscal intereses sobre cesantía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88"/>
    <s v="51053601"/>
    <s v="Prima de servicio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89"/>
    <s v="51053697"/>
    <s v="D. fiscal prima de servicio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91"/>
    <s v="51053901"/>
    <s v="Vacacione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92"/>
    <s v="51053997"/>
    <s v="D. fiscal vacacione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94"/>
    <s v="51054501"/>
    <s v="Educativo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95"/>
    <s v="51054502"/>
    <s v="Auxilio transporte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96"/>
    <s v="51054597"/>
    <s v="D. fiscal auxilio transporte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498"/>
    <s v="51054801"/>
    <s v="Bonificacione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499"/>
    <s v="51054897"/>
    <s v="D. fiscal bonificacione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01"/>
    <s v="51055101"/>
    <s v="Dotación y suministro a trabajadore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02"/>
    <s v="51055197"/>
    <s v="D. fiscal dotación y suministro a trabajadore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04"/>
    <s v="51056001"/>
    <s v="Indemnizaciones laborale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05"/>
    <s v="51056097"/>
    <s v="D. fiscal indemnizaciones laborale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07"/>
    <s v="51056301"/>
    <s v="Capacitación al personal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08"/>
    <s v="51056397"/>
    <s v="D. fiscal capacitación al personal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10"/>
    <s v="51056601"/>
    <s v="Gastos deportivos y de recreación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11"/>
    <s v="51056697"/>
    <s v="D. fiscal gastos deportivos y de recreación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13"/>
    <s v="51056801"/>
    <s v="Aportes a administradora de riesgos laborale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14"/>
    <s v="51056897"/>
    <s v="D. fiscal aportes a administradora de riesgos laborale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16"/>
    <s v="51056901"/>
    <s v="Aportes a entidades promotoras de salud ep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17"/>
    <s v="51056997"/>
    <s v="D. fiscal aportes a entidades promotoras de salud ep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19"/>
    <s v="51057001"/>
    <s v="Aporte a fondos de pensión y/o cesantía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20"/>
    <s v="51057097"/>
    <s v="D. fiscal aporte a fondos de pensión y/o cesantía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22"/>
    <s v="51057201"/>
    <s v="Aportes cajas de compensación familiar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23"/>
    <s v="51057297"/>
    <s v="D. fiscal aportes cajas de compensación familiar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25"/>
    <s v="51057501"/>
    <s v="Aportes icbf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26"/>
    <s v="51057597"/>
    <s v="D. fiscal aportes icbf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28"/>
    <s v="51057801"/>
    <s v="Aportes Sena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29"/>
    <s v="51057897"/>
    <s v="D. fiscal aportes Sena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31"/>
    <s v="51058401"/>
    <s v="Gastos médicos y droga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32"/>
    <s v="51058402"/>
    <s v="Examenes Medicos"/>
    <x v="9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33"/>
    <s v="51058497"/>
    <s v="D. fiscal gastos médicos y droga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35"/>
    <s v="51059501"/>
    <s v="Bienestar y atención a empleados"/>
    <x v="7"/>
    <x v="4"/>
    <s v="Sin asignar"/>
    <s v="No maneja vencimiento"/>
    <s v="No"/>
    <s v="Sí"/>
    <s v="Transaccional"/>
    <x v="4"/>
    <s v="Gastos"/>
    <x v="1"/>
    <x v="15"/>
    <x v="15"/>
    <x v="32"/>
    <x v="32"/>
    <s v="SI"/>
    <n v="0"/>
  </r>
  <r>
    <n v="536"/>
    <s v="51059597"/>
    <s v="D. fiscal bienestar y atención a empleados"/>
    <x v="7"/>
    <x v="4"/>
    <s v="Sin asignar"/>
    <s v="No maneja vencimiento"/>
    <s v="Sí"/>
    <s v="Sí"/>
    <s v="Transaccional"/>
    <x v="4"/>
    <s v="Gastos"/>
    <x v="1"/>
    <x v="15"/>
    <x v="15"/>
    <x v="32"/>
    <x v="32"/>
    <s v="SI"/>
    <n v="0"/>
  </r>
  <r>
    <n v="539"/>
    <s v="51101001"/>
    <s v="Honorarios - Revisoría fiscal"/>
    <x v="9"/>
    <x v="4"/>
    <s v="Sin asignar"/>
    <s v="No maneja vencimiento"/>
    <s v="No"/>
    <s v="Sí"/>
    <s v="Transaccional"/>
    <x v="4"/>
    <s v="Gastos"/>
    <x v="1"/>
    <x v="15"/>
    <x v="15"/>
    <x v="33"/>
    <x v="33"/>
    <s v="SI"/>
    <n v="0"/>
  </r>
  <r>
    <n v="543"/>
    <s v="51102501"/>
    <s v="Honorarios - Asesoría jurídica"/>
    <x v="9"/>
    <x v="4"/>
    <s v="Sin asignar"/>
    <s v="No maneja vencimiento"/>
    <s v="No"/>
    <s v="Sí"/>
    <s v="Transaccional"/>
    <x v="4"/>
    <s v="Gastos"/>
    <x v="1"/>
    <x v="15"/>
    <x v="15"/>
    <x v="33"/>
    <x v="33"/>
    <s v="SI"/>
    <n v="0"/>
  </r>
  <r>
    <n v="545"/>
    <s v="51103001"/>
    <s v="ASESORIA FINANCIERA"/>
    <x v="9"/>
    <x v="4"/>
    <s v="Sin asignar"/>
    <s v="No maneja vencimiento"/>
    <s v="No"/>
    <s v="Sí"/>
    <s v="Transaccional"/>
    <x v="4"/>
    <s v="Gastos"/>
    <x v="1"/>
    <x v="15"/>
    <x v="15"/>
    <x v="33"/>
    <x v="33"/>
    <s v="SI"/>
    <n v="0"/>
  </r>
  <r>
    <n v="547"/>
    <s v="51103501"/>
    <s v="Asesoría técnica"/>
    <x v="9"/>
    <x v="4"/>
    <s v="Sin asignar"/>
    <s v="No maneja vencimiento"/>
    <s v="No"/>
    <s v="Sí"/>
    <s v="Transaccional"/>
    <x v="4"/>
    <s v="Gastos"/>
    <x v="1"/>
    <x v="15"/>
    <x v="15"/>
    <x v="33"/>
    <x v="33"/>
    <s v="SI"/>
    <n v="0"/>
  </r>
  <r>
    <n v="550"/>
    <s v="51150501"/>
    <s v="Industria y comercio"/>
    <x v="9"/>
    <x v="4"/>
    <s v="Sin asignar"/>
    <s v="No maneja vencimiento"/>
    <s v="No"/>
    <s v="Sí"/>
    <s v="Transaccional"/>
    <x v="4"/>
    <s v="Gastos"/>
    <x v="1"/>
    <x v="15"/>
    <x v="15"/>
    <x v="34"/>
    <x v="34"/>
    <s v="SI"/>
    <n v="0"/>
  </r>
  <r>
    <n v="554"/>
    <s v="51157001"/>
    <s v="Iva mayor Valor"/>
    <x v="9"/>
    <x v="4"/>
    <s v="Sin asignar"/>
    <s v="No maneja vencimiento"/>
    <s v="No"/>
    <s v="Sí"/>
    <s v="Transaccional"/>
    <x v="4"/>
    <s v="Gastos"/>
    <x v="1"/>
    <x v="15"/>
    <x v="15"/>
    <x v="34"/>
    <x v="34"/>
    <s v="SI"/>
    <n v="0"/>
  </r>
  <r>
    <n v="558"/>
    <s v="51201001"/>
    <s v="Arrendamientos - Construcciones y edificaciones"/>
    <x v="9"/>
    <x v="4"/>
    <s v="Sin asignar"/>
    <s v="No maneja vencimiento"/>
    <s v="No"/>
    <s v="Sí"/>
    <s v="Transaccional"/>
    <x v="4"/>
    <s v="Gastos"/>
    <x v="1"/>
    <x v="15"/>
    <x v="15"/>
    <x v="35"/>
    <x v="35"/>
    <s v="SI"/>
    <n v="0"/>
  </r>
  <r>
    <n v="560"/>
    <s v="51202001"/>
    <s v="Arrendamientos - Equipo de oficina"/>
    <x v="9"/>
    <x v="4"/>
    <s v="Sin asignar"/>
    <s v="No maneja vencimiento"/>
    <s v="No"/>
    <s v="Sí"/>
    <s v="Transaccional"/>
    <x v="4"/>
    <s v="Gastos"/>
    <x v="1"/>
    <x v="15"/>
    <x v="15"/>
    <x v="35"/>
    <x v="35"/>
    <s v="SI"/>
    <n v="0"/>
  </r>
  <r>
    <n v="562"/>
    <s v="51202501"/>
    <s v="Arrendamiento - Equipo de computación y comunicación"/>
    <x v="9"/>
    <x v="4"/>
    <s v="Sin asignar"/>
    <s v="No maneja vencimiento"/>
    <s v="No"/>
    <s v="Sí"/>
    <s v="Transaccional"/>
    <x v="4"/>
    <s v="Gastos"/>
    <x v="1"/>
    <x v="15"/>
    <x v="15"/>
    <x v="35"/>
    <x v="35"/>
    <s v="SI"/>
    <n v="0"/>
  </r>
  <r>
    <n v="568"/>
    <s v="51301001"/>
    <s v="Cumplimiento"/>
    <x v="9"/>
    <x v="4"/>
    <s v="Sin asignar"/>
    <s v="No maneja vencimiento"/>
    <s v="No"/>
    <s v="Sí"/>
    <s v="Transaccional"/>
    <x v="4"/>
    <s v="Gastos"/>
    <x v="1"/>
    <x v="15"/>
    <x v="15"/>
    <x v="36"/>
    <x v="36"/>
    <s v="SI"/>
    <n v="0"/>
  </r>
  <r>
    <n v="572"/>
    <s v="51303001"/>
    <s v="Seguros - Terremoto"/>
    <x v="9"/>
    <x v="4"/>
    <s v="Sin asignar"/>
    <s v="No maneja vencimiento"/>
    <s v="No"/>
    <s v="Sí"/>
    <s v="Transaccional"/>
    <x v="4"/>
    <s v="Gastos"/>
    <x v="1"/>
    <x v="15"/>
    <x v="15"/>
    <x v="36"/>
    <x v="36"/>
    <s v="SI"/>
    <n v="0"/>
  </r>
  <r>
    <n v="579"/>
    <s v="51350501"/>
    <s v="Servicios - Aseo y vigilancia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81"/>
    <s v="51351501"/>
    <s v="ASISTENCIA TECNICA                                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83"/>
    <s v="51352001"/>
    <s v="Servicios - Procesamiento electrónico de datos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85"/>
    <s v="51352501"/>
    <s v="Servicios públicos - Acueducto y alcantarillado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87"/>
    <s v="51353001"/>
    <s v="Servicios públicos - Energía eléctrica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89"/>
    <s v="51353501"/>
    <s v="Servicios públicos - Teléfono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90"/>
    <s v="51353502"/>
    <s v="Servicios públicos - Celular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94"/>
    <s v="51355501"/>
    <s v="Servicios públicos - Gas"/>
    <x v="9"/>
    <x v="4"/>
    <s v="Sin asignar"/>
    <s v="No maneja vencimiento"/>
    <s v="No"/>
    <s v="Sí"/>
    <s v="Transaccional"/>
    <x v="4"/>
    <s v="Gastos"/>
    <x v="1"/>
    <x v="15"/>
    <x v="15"/>
    <x v="37"/>
    <x v="30"/>
    <s v="SI"/>
    <n v="0"/>
  </r>
  <r>
    <n v="598"/>
    <s v="51400501"/>
    <s v="Notariales"/>
    <x v="9"/>
    <x v="4"/>
    <s v="Sin asignar"/>
    <s v="No maneja vencimiento"/>
    <s v="No"/>
    <s v="Sí"/>
    <s v="Transaccional"/>
    <x v="4"/>
    <s v="Gastos"/>
    <x v="1"/>
    <x v="15"/>
    <x v="15"/>
    <x v="38"/>
    <x v="37"/>
    <s v="SI"/>
    <n v="0"/>
  </r>
  <r>
    <n v="600"/>
    <s v="51401001"/>
    <s v="Registro mercantil"/>
    <x v="9"/>
    <x v="4"/>
    <s v="Sin asignar"/>
    <s v="No maneja vencimiento"/>
    <s v="No"/>
    <s v="Sí"/>
    <s v="Transaccional"/>
    <x v="4"/>
    <s v="Gastos"/>
    <x v="1"/>
    <x v="15"/>
    <x v="15"/>
    <x v="38"/>
    <x v="37"/>
    <s v="SI"/>
    <n v="0"/>
  </r>
  <r>
    <n v="603"/>
    <s v="51409501"/>
    <s v="Otros"/>
    <x v="9"/>
    <x v="4"/>
    <s v="Sin asignar"/>
    <s v="No maneja vencimiento"/>
    <s v="No"/>
    <s v="Sí"/>
    <s v="Transaccional"/>
    <x v="4"/>
    <s v="Gastos"/>
    <x v="1"/>
    <x v="15"/>
    <x v="15"/>
    <x v="38"/>
    <x v="37"/>
    <s v="SI"/>
    <n v="0"/>
  </r>
  <r>
    <n v="606"/>
    <s v="51451001"/>
    <s v="Mantenimientos - Construcciones y edificaciones"/>
    <x v="9"/>
    <x v="4"/>
    <s v="Sin asignar"/>
    <s v="No maneja vencimiento"/>
    <s v="No"/>
    <s v="Sí"/>
    <s v="Transaccional"/>
    <x v="4"/>
    <s v="Gastos"/>
    <x v="1"/>
    <x v="15"/>
    <x v="15"/>
    <x v="39"/>
    <x v="38"/>
    <s v="SI"/>
    <n v="0"/>
  </r>
  <r>
    <n v="608"/>
    <s v="51452001"/>
    <s v="Equipo de oficina"/>
    <x v="9"/>
    <x v="4"/>
    <s v="Sin asignar"/>
    <s v="No maneja vencimiento"/>
    <s v="No"/>
    <s v="Sí"/>
    <s v="Transaccional"/>
    <x v="4"/>
    <s v="Gastos"/>
    <x v="1"/>
    <x v="15"/>
    <x v="15"/>
    <x v="39"/>
    <x v="38"/>
    <s v="SI"/>
    <n v="0"/>
  </r>
  <r>
    <n v="610"/>
    <s v="51452501"/>
    <s v="Mantenimiento - Equipo de computación y comunicación"/>
    <x v="9"/>
    <x v="4"/>
    <s v="Sin asignar"/>
    <s v="No maneja vencimiento"/>
    <s v="No"/>
    <s v="Sí"/>
    <s v="Transaccional"/>
    <x v="4"/>
    <s v="Gastos"/>
    <x v="1"/>
    <x v="15"/>
    <x v="15"/>
    <x v="39"/>
    <x v="38"/>
    <s v="SI"/>
    <n v="0"/>
  </r>
  <r>
    <n v="616"/>
    <s v="51501501"/>
    <s v="Reparaciones locativas"/>
    <x v="9"/>
    <x v="4"/>
    <s v="Sin asignar"/>
    <s v="No maneja vencimiento"/>
    <s v="No"/>
    <s v="Sí"/>
    <s v="Transaccional"/>
    <x v="4"/>
    <s v="Gastos"/>
    <x v="1"/>
    <x v="15"/>
    <x v="15"/>
    <x v="40"/>
    <x v="39"/>
    <s v="SI"/>
    <n v="0"/>
  </r>
  <r>
    <n v="620"/>
    <s v="51550501"/>
    <s v="Gastos de viaje - Alojamiento y manutención"/>
    <x v="9"/>
    <x v="4"/>
    <s v="Sin asignar"/>
    <s v="No maneja vencimiento"/>
    <s v="No"/>
    <s v="Sí"/>
    <s v="Transaccional"/>
    <x v="4"/>
    <s v="Gastos"/>
    <x v="1"/>
    <x v="15"/>
    <x v="15"/>
    <x v="41"/>
    <x v="40"/>
    <s v="SI"/>
    <n v="0"/>
  </r>
  <r>
    <n v="622"/>
    <s v="51551501"/>
    <s v="Gastos de viaje - Pasajes aéreos"/>
    <x v="9"/>
    <x v="4"/>
    <s v="Sin asignar"/>
    <s v="No maneja vencimiento"/>
    <s v="No"/>
    <s v="Sí"/>
    <s v="Transaccional"/>
    <x v="4"/>
    <s v="Gastos"/>
    <x v="1"/>
    <x v="15"/>
    <x v="15"/>
    <x v="41"/>
    <x v="40"/>
    <s v="SI"/>
    <n v="0"/>
  </r>
  <r>
    <n v="624"/>
    <s v="51552001"/>
    <s v="Gastos de viaje - Pasajes terrestres"/>
    <x v="9"/>
    <x v="4"/>
    <s v="Sin asignar"/>
    <s v="No maneja vencimiento"/>
    <s v="No"/>
    <s v="Sí"/>
    <s v="Transaccional"/>
    <x v="4"/>
    <s v="Gastos"/>
    <x v="1"/>
    <x v="15"/>
    <x v="15"/>
    <x v="41"/>
    <x v="40"/>
    <s v="SI"/>
    <n v="0"/>
  </r>
  <r>
    <n v="629"/>
    <s v="51601501"/>
    <s v="Equipo de oficina"/>
    <x v="9"/>
    <x v="4"/>
    <s v="Grupo de activo fijo - Gastos de Depreciación"/>
    <s v="No maneja vencimiento"/>
    <s v="No"/>
    <s v="Sí"/>
    <s v="Transaccional"/>
    <x v="4"/>
    <s v="Gastos"/>
    <x v="1"/>
    <x v="15"/>
    <x v="15"/>
    <x v="42"/>
    <x v="41"/>
    <s v="NO"/>
    <n v="0"/>
  </r>
  <r>
    <n v="630"/>
    <s v="51601597"/>
    <s v="D. fiscal equipo de oficina"/>
    <x v="9"/>
    <x v="4"/>
    <s v="Grupo de activo fijo - Gastos de depreciación NIIF"/>
    <s v="No maneja vencimiento"/>
    <s v="Sí"/>
    <s v="Sí"/>
    <s v="Transaccional"/>
    <x v="4"/>
    <s v="Gastos"/>
    <x v="1"/>
    <x v="15"/>
    <x v="15"/>
    <x v="42"/>
    <x v="41"/>
    <s v="NO"/>
    <n v="0"/>
  </r>
  <r>
    <n v="632"/>
    <s v="51602001"/>
    <s v="Equipo de computación y comunicación"/>
    <x v="9"/>
    <x v="4"/>
    <s v="Grupo de activo fijo - Gastos de Depreciación"/>
    <s v="No maneja vencimiento"/>
    <s v="No"/>
    <s v="Sí"/>
    <s v="Transaccional"/>
    <x v="4"/>
    <s v="Gastos"/>
    <x v="1"/>
    <x v="15"/>
    <x v="15"/>
    <x v="42"/>
    <x v="41"/>
    <s v="NO"/>
    <n v="0"/>
  </r>
  <r>
    <n v="633"/>
    <s v="51602097"/>
    <s v="D. fiscal equipo de computación y comunicación"/>
    <x v="9"/>
    <x v="4"/>
    <s v="Grupo de activo fijo - Gastos de depreciación NIIF"/>
    <s v="No maneja vencimiento"/>
    <s v="Sí"/>
    <s v="Sí"/>
    <s v="Transaccional"/>
    <x v="4"/>
    <s v="Gastos"/>
    <x v="1"/>
    <x v="15"/>
    <x v="15"/>
    <x v="42"/>
    <x v="41"/>
    <s v="NO"/>
    <n v="0"/>
  </r>
  <r>
    <n v="635"/>
    <s v="51603501"/>
    <s v="Flota y equipo de transporte"/>
    <x v="9"/>
    <x v="4"/>
    <s v="Grupo de activo fijo - Gastos de Depreciación"/>
    <s v="No maneja vencimiento"/>
    <s v="No"/>
    <s v="Sí"/>
    <s v="Transaccional"/>
    <x v="4"/>
    <s v="Gastos"/>
    <x v="1"/>
    <x v="15"/>
    <x v="15"/>
    <x v="42"/>
    <x v="41"/>
    <s v="NO"/>
    <n v="0"/>
  </r>
  <r>
    <n v="636"/>
    <s v="51603597"/>
    <s v="D. fiscal flota y equipo de transporte"/>
    <x v="9"/>
    <x v="4"/>
    <s v="Grupo de activo fijo - Gastos de depreciación NIIF"/>
    <s v="No maneja vencimiento"/>
    <s v="Sí"/>
    <s v="Sí"/>
    <s v="Transaccional"/>
    <x v="4"/>
    <s v="Gastos"/>
    <x v="1"/>
    <x v="15"/>
    <x v="15"/>
    <x v="42"/>
    <x v="41"/>
    <s v="NO"/>
    <n v="0"/>
  </r>
  <r>
    <n v="644"/>
    <s v="51952501"/>
    <s v="Elementos de aseo y cafetería"/>
    <x v="9"/>
    <x v="4"/>
    <s v="Sin asignar"/>
    <s v="No maneja vencimiento"/>
    <s v="No"/>
    <s v="Sí"/>
    <s v="Transaccional"/>
    <x v="4"/>
    <s v="Gastos"/>
    <x v="1"/>
    <x v="15"/>
    <x v="15"/>
    <x v="43"/>
    <x v="42"/>
    <s v="SI"/>
    <n v="0"/>
  </r>
  <r>
    <n v="646"/>
    <s v="51953001"/>
    <s v="Útiles papelería y fotocopias"/>
    <x v="9"/>
    <x v="4"/>
    <s v="Sin asignar"/>
    <s v="No maneja vencimiento"/>
    <s v="No"/>
    <s v="Sí"/>
    <s v="Transaccional"/>
    <x v="4"/>
    <s v="Gastos"/>
    <x v="1"/>
    <x v="15"/>
    <x v="15"/>
    <x v="43"/>
    <x v="42"/>
    <s v="SI"/>
    <n v="0"/>
  </r>
  <r>
    <n v="648"/>
    <s v="51953501"/>
    <s v="Combustibles y lubricantes"/>
    <x v="9"/>
    <x v="4"/>
    <s v="Sin asignar"/>
    <s v="No maneja vencimiento"/>
    <s v="No"/>
    <s v="Sí"/>
    <s v="Transaccional"/>
    <x v="4"/>
    <s v="Gastos"/>
    <x v="1"/>
    <x v="15"/>
    <x v="15"/>
    <x v="43"/>
    <x v="42"/>
    <s v="SI"/>
    <n v="0"/>
  </r>
  <r>
    <n v="650"/>
    <s v="51954501"/>
    <s v="Taxis y buses"/>
    <x v="9"/>
    <x v="4"/>
    <s v="Sin asignar"/>
    <s v="No maneja vencimiento"/>
    <s v="No"/>
    <s v="Sí"/>
    <s v="Transaccional"/>
    <x v="4"/>
    <s v="Gastos"/>
    <x v="1"/>
    <x v="15"/>
    <x v="15"/>
    <x v="43"/>
    <x v="42"/>
    <s v="SI"/>
    <n v="0"/>
  </r>
  <r>
    <n v="652"/>
    <s v="51956001"/>
    <s v="Casino y restaurante"/>
    <x v="9"/>
    <x v="4"/>
    <s v="Sin asignar"/>
    <s v="No maneja vencimiento"/>
    <s v="No"/>
    <s v="Sí"/>
    <s v="Transaccional"/>
    <x v="4"/>
    <s v="Gastos"/>
    <x v="1"/>
    <x v="15"/>
    <x v="15"/>
    <x v="43"/>
    <x v="42"/>
    <s v="SI"/>
    <n v="0"/>
  </r>
  <r>
    <n v="654"/>
    <s v="51956501"/>
    <s v="Parqueaderos"/>
    <x v="9"/>
    <x v="4"/>
    <s v="Sin asignar"/>
    <s v="No maneja vencimiento"/>
    <s v="No"/>
    <s v="Sí"/>
    <s v="Transaccional"/>
    <x v="4"/>
    <s v="Gastos"/>
    <x v="1"/>
    <x v="15"/>
    <x v="15"/>
    <x v="43"/>
    <x v="42"/>
    <s v="SI"/>
    <n v="0"/>
  </r>
  <r>
    <n v="656"/>
    <s v="51959501"/>
    <s v="Otros"/>
    <x v="9"/>
    <x v="4"/>
    <s v="Sin asignar"/>
    <s v="No maneja vencimiento"/>
    <s v="No"/>
    <s v="Sí"/>
    <s v="Transaccional"/>
    <x v="4"/>
    <s v="Gastos"/>
    <x v="1"/>
    <x v="15"/>
    <x v="15"/>
    <x v="43"/>
    <x v="42"/>
    <s v="SI"/>
    <n v="0"/>
  </r>
  <r>
    <n v="659"/>
    <s v="51980505"/>
    <s v="Deterioro de Cartera"/>
    <x v="9"/>
    <x v="4"/>
    <s v="Sin asignar"/>
    <s v="No maneja vencimiento"/>
    <s v="No"/>
    <s v="Sí"/>
    <s v="Transaccional"/>
    <x v="4"/>
    <s v="Gastos"/>
    <x v="1"/>
    <x v="15"/>
    <x v="15"/>
    <x v="44"/>
    <x v="43"/>
    <s v="SI"/>
    <n v="0"/>
  </r>
  <r>
    <n v="662"/>
    <s v="519910"/>
    <s v="DEUDORES"/>
    <x v="10"/>
    <x v="4"/>
    <s v="Sin asignar"/>
    <s v="No maneja vencimiento"/>
    <s v="No"/>
    <s v="Sí"/>
    <s v="Transaccional"/>
    <x v="4"/>
    <s v="Gastos"/>
    <x v="1"/>
    <x v="15"/>
    <x v="15"/>
    <x v="45"/>
    <x v="44"/>
    <s v="SI"/>
    <n v="0"/>
  </r>
  <r>
    <n v="664"/>
    <s v="51999999"/>
    <s v="Pregúntale a tu contador"/>
    <x v="10"/>
    <x v="4"/>
    <s v="Gastos frecuentes"/>
    <s v="No maneja vencimiento"/>
    <s v="No"/>
    <s v="Sí"/>
    <s v="Transaccional"/>
    <x v="4"/>
    <s v="Gastos"/>
    <x v="1"/>
    <x v="15"/>
    <x v="15"/>
    <x v="45"/>
    <x v="44"/>
    <s v="SI"/>
    <n v="0"/>
  </r>
  <r>
    <n v="668"/>
    <s v="52050301"/>
    <s v="Salario integral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69"/>
    <s v="52050397"/>
    <s v="D. fiscal salario integral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71"/>
    <s v="52050601"/>
    <s v="Sueldo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72"/>
    <s v="52050697"/>
    <s v="D. fiscal sueldo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74"/>
    <s v="52051201"/>
    <s v="Apoyo sostenimiento aprendice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75"/>
    <s v="52051297"/>
    <s v="D. fiscal apoyo sostenimiento aprendice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77"/>
    <s v="52051501"/>
    <s v="Horas extras y recargo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78"/>
    <s v="52051597"/>
    <s v="D. fiscal horas extras y recargo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80"/>
    <s v="52052401"/>
    <s v="Incapacidade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81"/>
    <s v="52052497"/>
    <s v="D. fiscal incapacidade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83"/>
    <s v="52052701"/>
    <s v="Auxilio de transporte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84"/>
    <s v="52052797"/>
    <s v="D. fiscal auxilio de transporte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86"/>
    <s v="52053001"/>
    <s v="Cesantía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87"/>
    <s v="52053097"/>
    <s v="D. fiscal cesantía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89"/>
    <s v="52053301"/>
    <s v="Intereses sobre cesantía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90"/>
    <s v="52053397"/>
    <s v="D. fiscal intereses sobre cesantía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92"/>
    <s v="52053601"/>
    <s v="Prima de servicio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93"/>
    <s v="52053697"/>
    <s v="D. fiscal prima de servicio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95"/>
    <s v="52053901"/>
    <s v="Vacacione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96"/>
    <s v="52053997"/>
    <s v="D. fiscal vacacione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698"/>
    <s v="52054501"/>
    <s v="Educativo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699"/>
    <s v="52054502"/>
    <s v="Auxilio transporte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00"/>
    <s v="52054597"/>
    <s v="D. fiscal auxilio transporte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02"/>
    <s v="52054801"/>
    <s v="Bonificacione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03"/>
    <s v="52054897"/>
    <s v="D. fiscal bonificacione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05"/>
    <s v="52055101"/>
    <s v="Dotación y suministro a trabajadore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06"/>
    <s v="52055197"/>
    <s v="D. fiscal dotación y suministro a trabajadore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08"/>
    <s v="52056001"/>
    <s v="Indemnizaciones laborale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09"/>
    <s v="52056097"/>
    <s v="D. fiscal indemnizaciones laborale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11"/>
    <s v="52056301"/>
    <s v="Capacitación al personal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12"/>
    <s v="52056397"/>
    <s v="D. fiscal capacitación al personal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14"/>
    <s v="52056601"/>
    <s v="Gastos deportivos y de recreación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15"/>
    <s v="52056697"/>
    <s v="D. fiscal gastos deportivos y de recreación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17"/>
    <s v="52056801"/>
    <s v="Aportes a administradora de riesgos laborale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18"/>
    <s v="52056897"/>
    <s v="D. fiscal aportes a administradora de riesgos laborale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20"/>
    <s v="52056901"/>
    <s v="Aportes a entidades promotoras de salud ep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21"/>
    <s v="52056997"/>
    <s v="D. fiscal aportes a entidades promotoras de salud ep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23"/>
    <s v="52057001"/>
    <s v="Aporte a fondos de pensión y/o cesantía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24"/>
    <s v="52057097"/>
    <s v="D. fiscal aporte a fondos de pensión y/o cesantía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26"/>
    <s v="52057201"/>
    <s v="Aportes cajas de compensación familiar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27"/>
    <s v="52057297"/>
    <s v="D. fiscal aportes cajas de compensación familiar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29"/>
    <s v="52057501"/>
    <s v="Aportes icbf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30"/>
    <s v="52057597"/>
    <s v="D. fiscal aportes icbf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32"/>
    <s v="52057801"/>
    <s v="Aportes Sena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33"/>
    <s v="52057897"/>
    <s v="D. fiscal aportes Sena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35"/>
    <s v="52058401"/>
    <s v="Gastos médicos y droga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36"/>
    <s v="52058497"/>
    <s v="D. fiscal gastos médicos y droga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38"/>
    <s v="52059501"/>
    <s v="Bienestar y atención a empleados"/>
    <x v="7"/>
    <x v="4"/>
    <s v="Sin asignar"/>
    <s v="No maneja vencimiento"/>
    <s v="No"/>
    <s v="Sí"/>
    <s v="Transaccional"/>
    <x v="4"/>
    <s v="Gastos"/>
    <x v="1"/>
    <x v="16"/>
    <x v="16"/>
    <x v="46"/>
    <x v="32"/>
    <s v="SI"/>
    <n v="0"/>
  </r>
  <r>
    <n v="739"/>
    <s v="52059597"/>
    <s v="D. fiscal bienestar y atención a empleados"/>
    <x v="7"/>
    <x v="4"/>
    <s v="Sin asignar"/>
    <s v="No maneja vencimiento"/>
    <s v="Sí"/>
    <s v="Sí"/>
    <s v="Transaccional"/>
    <x v="4"/>
    <s v="Gastos"/>
    <x v="1"/>
    <x v="16"/>
    <x v="16"/>
    <x v="46"/>
    <x v="32"/>
    <s v="SI"/>
    <n v="0"/>
  </r>
  <r>
    <n v="745"/>
    <s v="52356001"/>
    <s v="Publicidad"/>
    <x v="9"/>
    <x v="4"/>
    <s v="Sin asignar"/>
    <s v="No maneja vencimiento"/>
    <s v="No"/>
    <s v="Sí"/>
    <s v="Transaccional"/>
    <x v="4"/>
    <s v="Gastos"/>
    <x v="1"/>
    <x v="16"/>
    <x v="16"/>
    <x v="47"/>
    <x v="30"/>
    <s v="SI"/>
    <n v="0"/>
  </r>
  <r>
    <n v="750"/>
    <s v="52950501"/>
    <s v="Comisiones"/>
    <x v="9"/>
    <x v="4"/>
    <s v="Sin asignar"/>
    <s v="No maneja vencimiento"/>
    <s v="No"/>
    <s v="Sí"/>
    <s v="Transaccional"/>
    <x v="4"/>
    <s v="Gastos"/>
    <x v="1"/>
    <x v="16"/>
    <x v="16"/>
    <x v="48"/>
    <x v="42"/>
    <s v="SI"/>
    <n v="0"/>
  </r>
  <r>
    <n v="753"/>
    <s v="52959505"/>
    <s v="Gastos diversos POS"/>
    <x v="9"/>
    <x v="4"/>
    <s v="Sin asignar"/>
    <s v="No maneja vencimiento"/>
    <s v="No"/>
    <s v="Sí"/>
    <s v="Transaccional"/>
    <x v="4"/>
    <s v="Gastos"/>
    <x v="1"/>
    <x v="16"/>
    <x v="16"/>
    <x v="48"/>
    <x v="42"/>
    <s v="SI"/>
    <n v="0"/>
  </r>
  <r>
    <n v="757"/>
    <s v="53050501"/>
    <s v="Gastos bancarios"/>
    <x v="9"/>
    <x v="4"/>
    <s v="Sin asignar"/>
    <s v="No maneja vencimiento"/>
    <s v="No"/>
    <s v="Sí"/>
    <s v="Transaccional"/>
    <x v="4"/>
    <s v="Gastos"/>
    <x v="1"/>
    <x v="17"/>
    <x v="17"/>
    <x v="49"/>
    <x v="45"/>
    <s v="SI"/>
    <n v="0"/>
  </r>
  <r>
    <n v="759"/>
    <s v="53051501"/>
    <s v="Comisiones"/>
    <x v="9"/>
    <x v="4"/>
    <s v="Sin asignar"/>
    <s v="No maneja vencimiento"/>
    <s v="No"/>
    <s v="Sí"/>
    <s v="Transaccional"/>
    <x v="4"/>
    <s v="Gastos"/>
    <x v="1"/>
    <x v="17"/>
    <x v="17"/>
    <x v="49"/>
    <x v="45"/>
    <s v="SI"/>
    <n v="0"/>
  </r>
  <r>
    <n v="761"/>
    <s v="53052001"/>
    <s v="Intereses corrientes"/>
    <x v="9"/>
    <x v="4"/>
    <s v="Sin asignar"/>
    <s v="No maneja vencimiento"/>
    <s v="No"/>
    <s v="Sí"/>
    <s v="Transaccional"/>
    <x v="4"/>
    <s v="Gastos"/>
    <x v="1"/>
    <x v="17"/>
    <x v="17"/>
    <x v="49"/>
    <x v="45"/>
    <s v="NO"/>
    <n v="0"/>
  </r>
  <r>
    <n v="762"/>
    <s v="53052002"/>
    <s v="Intereses de mora"/>
    <x v="9"/>
    <x v="4"/>
    <s v="Sin asignar"/>
    <s v="No maneja vencimiento"/>
    <s v="No"/>
    <s v="Sí"/>
    <s v="Transaccional"/>
    <x v="4"/>
    <s v="Gastos"/>
    <x v="1"/>
    <x v="17"/>
    <x v="17"/>
    <x v="49"/>
    <x v="45"/>
    <s v="SI"/>
    <n v="0"/>
  </r>
  <r>
    <n v="765"/>
    <s v="53053501"/>
    <s v="Descuentos comerciales condicionados"/>
    <x v="9"/>
    <x v="4"/>
    <s v="Sin asignar"/>
    <s v="No maneja vencimiento"/>
    <s v="No"/>
    <s v="Sí"/>
    <s v="Transaccional"/>
    <x v="4"/>
    <s v="Gastos"/>
    <x v="1"/>
    <x v="17"/>
    <x v="17"/>
    <x v="49"/>
    <x v="45"/>
    <s v="SI"/>
    <n v="0"/>
  </r>
  <r>
    <n v="767"/>
    <s v="53055001"/>
    <s v="GRAVAMEN A LOS MOVIMIENTOS FINANCIEROS            "/>
    <x v="10"/>
    <x v="4"/>
    <s v="Sin asignar"/>
    <s v="No maneja vencimiento"/>
    <s v="No"/>
    <s v="Sí"/>
    <s v="Transaccional"/>
    <x v="4"/>
    <s v="Gastos"/>
    <x v="1"/>
    <x v="17"/>
    <x v="17"/>
    <x v="49"/>
    <x v="45"/>
    <s v="SI"/>
    <n v="0"/>
  </r>
  <r>
    <n v="773"/>
    <s v="53152002"/>
    <s v="Otros impuestos asumidos"/>
    <x v="9"/>
    <x v="4"/>
    <s v="Sin asignar"/>
    <s v="No maneja vencimiento"/>
    <s v="No"/>
    <s v="Sí"/>
    <s v="Transaccional"/>
    <x v="4"/>
    <s v="Gastos"/>
    <x v="1"/>
    <x v="17"/>
    <x v="17"/>
    <x v="50"/>
    <x v="46"/>
    <s v="SI"/>
    <n v="0"/>
  </r>
  <r>
    <n v="775"/>
    <s v="53152501"/>
    <s v="Costos y gastos no deducibles"/>
    <x v="9"/>
    <x v="4"/>
    <s v="Sin asignar"/>
    <s v="No maneja vencimiento"/>
    <s v="No"/>
    <s v="Sí"/>
    <s v="Transaccional"/>
    <x v="4"/>
    <s v="Gastos"/>
    <x v="1"/>
    <x v="17"/>
    <x v="17"/>
    <x v="50"/>
    <x v="46"/>
    <s v="SI"/>
    <n v="0"/>
  </r>
  <r>
    <n v="778"/>
    <s v="53952001"/>
    <s v="Multas sanciones y litigios"/>
    <x v="9"/>
    <x v="4"/>
    <s v="Sin asignar"/>
    <s v="No maneja vencimiento"/>
    <s v="No"/>
    <s v="Sí"/>
    <s v="Transaccional"/>
    <x v="4"/>
    <s v="Gastos"/>
    <x v="1"/>
    <x v="17"/>
    <x v="17"/>
    <x v="51"/>
    <x v="47"/>
    <s v="SI"/>
    <n v="0"/>
  </r>
  <r>
    <n v="781"/>
    <s v="53958101"/>
    <s v="Ajuste al peso"/>
    <x v="9"/>
    <x v="4"/>
    <s v="Sin asignar"/>
    <s v="No maneja vencimiento"/>
    <s v="No"/>
    <s v="Sí"/>
    <s v="Transaccional"/>
    <x v="4"/>
    <s v="Gastos"/>
    <x v="1"/>
    <x v="17"/>
    <x v="17"/>
    <x v="51"/>
    <x v="47"/>
    <s v="SI"/>
    <n v="0"/>
  </r>
  <r>
    <n v="783"/>
    <s v="53959501"/>
    <s v="Otros"/>
    <x v="9"/>
    <x v="4"/>
    <s v="Sin asignar"/>
    <s v="No maneja vencimiento"/>
    <s v="No"/>
    <s v="Sí"/>
    <s v="Transaccional"/>
    <x v="4"/>
    <s v="Gastos"/>
    <x v="1"/>
    <x v="17"/>
    <x v="17"/>
    <x v="51"/>
    <x v="47"/>
    <s v="SI"/>
    <n v="0"/>
  </r>
  <r>
    <n v="787"/>
    <s v="54050501"/>
    <s v="Impuesto de renta y complementarios"/>
    <x v="9"/>
    <x v="4"/>
    <s v="Sin asignar"/>
    <s v="No maneja vencimiento"/>
    <s v="No"/>
    <s v="Sí"/>
    <s v="Transaccional"/>
    <x v="4"/>
    <s v="Gastos"/>
    <x v="1"/>
    <x v="18"/>
    <x v="18"/>
    <x v="52"/>
    <x v="48"/>
    <s v="NO"/>
    <n v="0"/>
  </r>
  <r>
    <n v="788"/>
    <s v="54050502"/>
    <s v="RST REGIMEN SIMPLE DE TRIBUTACION"/>
    <x v="9"/>
    <x v="4"/>
    <s v="Sin asignar"/>
    <s v="No maneja vencimiento"/>
    <s v="No"/>
    <s v="Sí"/>
    <s v="Transaccional"/>
    <x v="4"/>
    <s v="Gastos"/>
    <x v="1"/>
    <x v="18"/>
    <x v="18"/>
    <x v="52"/>
    <x v="48"/>
    <s v="NO"/>
    <n v="0"/>
  </r>
  <r>
    <n v="401"/>
    <s v="41350101"/>
    <s v="Comercio al por mayor y al detal"/>
    <x v="11"/>
    <x v="5"/>
    <s v="Sin asignar"/>
    <s v="No maneja vencimiento"/>
    <s v="No"/>
    <s v="Sí"/>
    <s v="Transaccional"/>
    <x v="5"/>
    <s v="Ingresos"/>
    <x v="1"/>
    <x v="19"/>
    <x v="19"/>
    <x v="53"/>
    <x v="49"/>
    <s v="SI"/>
    <n v="0"/>
  </r>
  <r>
    <n v="402"/>
    <s v="41350102"/>
    <s v="Descuentos"/>
    <x v="11"/>
    <x v="5"/>
    <s v="Sin asignar"/>
    <s v="No maneja vencimiento"/>
    <s v="No"/>
    <s v="Sí"/>
    <s v="Transaccional"/>
    <x v="5"/>
    <s v="Ingresos"/>
    <x v="1"/>
    <x v="19"/>
    <x v="19"/>
    <x v="53"/>
    <x v="49"/>
    <s v="SI"/>
    <n v="0"/>
  </r>
  <r>
    <n v="403"/>
    <s v="41350197"/>
    <s v="D. fiscal Comercio al por mayor y al detal"/>
    <x v="11"/>
    <x v="5"/>
    <s v="Sin asignar"/>
    <s v="No maneja vencimiento"/>
    <s v="Sí"/>
    <s v="Sí"/>
    <s v="Transaccional"/>
    <x v="5"/>
    <s v="Ingresos"/>
    <x v="1"/>
    <x v="19"/>
    <x v="19"/>
    <x v="53"/>
    <x v="49"/>
    <s v="SI"/>
    <n v="0"/>
  </r>
  <r>
    <n v="406"/>
    <s v="41555001"/>
    <s v="CONSULTORIA"/>
    <x v="11"/>
    <x v="5"/>
    <s v="Sin asignar"/>
    <s v="No maneja vencimiento"/>
    <s v="No"/>
    <s v="Sí"/>
    <s v="Transaccional"/>
    <x v="5"/>
    <s v="Ingresos"/>
    <x v="1"/>
    <x v="19"/>
    <x v="19"/>
    <x v="54"/>
    <x v="50"/>
    <s v="SI"/>
    <n v="0"/>
  </r>
  <r>
    <n v="409"/>
    <s v="41750501"/>
    <s v="Devolución en ventas"/>
    <x v="11"/>
    <x v="5"/>
    <s v="Sin asignar"/>
    <s v="No maneja vencimiento"/>
    <s v="No"/>
    <s v="Sí"/>
    <s v="Transaccional"/>
    <x v="5"/>
    <s v="Ingresos"/>
    <x v="1"/>
    <x v="19"/>
    <x v="19"/>
    <x v="55"/>
    <x v="51"/>
    <s v="SI"/>
    <n v="0"/>
  </r>
  <r>
    <n v="410"/>
    <s v="41750502"/>
    <s v="Devolución en servicios"/>
    <x v="11"/>
    <x v="5"/>
    <s v="Sin asignar"/>
    <s v="No maneja vencimiento"/>
    <s v="No"/>
    <s v="Sí"/>
    <s v="Transaccional"/>
    <x v="5"/>
    <s v="Ingresos"/>
    <x v="1"/>
    <x v="19"/>
    <x v="19"/>
    <x v="55"/>
    <x v="51"/>
    <s v="SI"/>
    <n v="0"/>
  </r>
  <r>
    <n v="411"/>
    <s v="41750503"/>
    <s v="Devolución en descuentos"/>
    <x v="11"/>
    <x v="5"/>
    <s v="Sin asignar"/>
    <s v="No maneja vencimiento"/>
    <s v="No"/>
    <s v="Sí"/>
    <s v="Transaccional"/>
    <x v="5"/>
    <s v="Ingresos"/>
    <x v="1"/>
    <x v="19"/>
    <x v="19"/>
    <x v="55"/>
    <x v="51"/>
    <s v="SI"/>
    <n v="0"/>
  </r>
  <r>
    <n v="412"/>
    <s v="41750597"/>
    <s v="D. fiscal devolución en ventas"/>
    <x v="11"/>
    <x v="5"/>
    <s v="Sin asignar"/>
    <s v="No maneja vencimiento"/>
    <s v="Sí"/>
    <s v="Sí"/>
    <s v="Transaccional"/>
    <x v="5"/>
    <s v="Ingresos"/>
    <x v="1"/>
    <x v="19"/>
    <x v="19"/>
    <x v="55"/>
    <x v="51"/>
    <s v="SI"/>
    <n v="0"/>
  </r>
  <r>
    <n v="415"/>
    <s v="41800101"/>
    <s v="Servicios"/>
    <x v="11"/>
    <x v="5"/>
    <s v="Sin asignar"/>
    <s v="No maneja vencimiento"/>
    <s v="No"/>
    <s v="Sí"/>
    <s v="Transaccional"/>
    <x v="5"/>
    <s v="Ingresos"/>
    <x v="1"/>
    <x v="19"/>
    <x v="19"/>
    <x v="56"/>
    <x v="30"/>
    <s v="SI"/>
    <n v="0"/>
  </r>
  <r>
    <n v="416"/>
    <s v="41800102"/>
    <s v="Descuentos en servicios"/>
    <x v="11"/>
    <x v="5"/>
    <s v="Sin asignar"/>
    <s v="No maneja vencimiento"/>
    <s v="No"/>
    <s v="Sí"/>
    <s v="Transaccional"/>
    <x v="5"/>
    <s v="Ingresos"/>
    <x v="1"/>
    <x v="19"/>
    <x v="19"/>
    <x v="56"/>
    <x v="30"/>
    <s v="SI"/>
    <n v="0"/>
  </r>
  <r>
    <n v="417"/>
    <s v="41800197"/>
    <s v="D. fiscal servicios"/>
    <x v="11"/>
    <x v="5"/>
    <s v="Sin asignar"/>
    <s v="No maneja vencimiento"/>
    <s v="Sí"/>
    <s v="Sí"/>
    <s v="Transaccional"/>
    <x v="5"/>
    <s v="Ingresos"/>
    <x v="1"/>
    <x v="19"/>
    <x v="19"/>
    <x v="56"/>
    <x v="30"/>
    <s v="SI"/>
    <n v="0"/>
  </r>
  <r>
    <n v="421"/>
    <s v="42102001"/>
    <s v="Diferencia en cambio"/>
    <x v="11"/>
    <x v="5"/>
    <s v="Sin asignar"/>
    <s v="No maneja vencimiento"/>
    <s v="No"/>
    <s v="Sí"/>
    <s v="Transaccional"/>
    <x v="5"/>
    <s v="Ingresos"/>
    <x v="1"/>
    <x v="20"/>
    <x v="20"/>
    <x v="57"/>
    <x v="45"/>
    <s v="SI"/>
    <n v="0"/>
  </r>
  <r>
    <n v="422"/>
    <s v="42102097"/>
    <s v="D. fiscal diferencia en cambio"/>
    <x v="11"/>
    <x v="5"/>
    <s v="Sin asignar"/>
    <s v="No maneja vencimiento"/>
    <s v="Sí"/>
    <s v="Sí"/>
    <s v="Transaccional"/>
    <x v="5"/>
    <s v="Ingresos"/>
    <x v="1"/>
    <x v="20"/>
    <x v="20"/>
    <x v="57"/>
    <x v="45"/>
    <s v="SI"/>
    <n v="0"/>
  </r>
  <r>
    <n v="424"/>
    <s v="42104001"/>
    <s v="Descuentos comerciales condicionados"/>
    <x v="11"/>
    <x v="5"/>
    <s v="Sin asignar"/>
    <s v="No maneja vencimiento"/>
    <s v="No"/>
    <s v="Sí"/>
    <s v="Transaccional"/>
    <x v="5"/>
    <s v="Ingresos"/>
    <x v="1"/>
    <x v="20"/>
    <x v="20"/>
    <x v="57"/>
    <x v="45"/>
    <s v="SI"/>
    <n v="0"/>
  </r>
  <r>
    <n v="425"/>
    <s v="42104097"/>
    <s v="D. fiscal descuentos comerciales condicionados"/>
    <x v="11"/>
    <x v="5"/>
    <s v="Sin asignar"/>
    <s v="No maneja vencimiento"/>
    <s v="Sí"/>
    <s v="Sí"/>
    <s v="Transaccional"/>
    <x v="5"/>
    <s v="Ingresos"/>
    <x v="1"/>
    <x v="20"/>
    <x v="20"/>
    <x v="57"/>
    <x v="45"/>
    <s v="SI"/>
    <n v="0"/>
  </r>
  <r>
    <n v="427"/>
    <s v="42106501"/>
    <s v="RENDIMIENTO FINANCIERO                            "/>
    <x v="12"/>
    <x v="5"/>
    <s v="Sin asignar"/>
    <s v="No maneja vencimiento"/>
    <s v="No"/>
    <s v="Sí"/>
    <s v="Transaccional"/>
    <x v="5"/>
    <s v="Ingresos"/>
    <x v="1"/>
    <x v="20"/>
    <x v="20"/>
    <x v="57"/>
    <x v="45"/>
    <s v="SI"/>
    <n v="0"/>
  </r>
  <r>
    <n v="430"/>
    <s v="42180501"/>
    <s v="De sociedades anónimas y/o asimiladas"/>
    <x v="11"/>
    <x v="5"/>
    <s v="Sin asignar"/>
    <s v="No maneja vencimiento"/>
    <s v="No"/>
    <s v="Sí"/>
    <s v="Transaccional"/>
    <x v="5"/>
    <s v="Ingresos"/>
    <x v="1"/>
    <x v="20"/>
    <x v="20"/>
    <x v="58"/>
    <x v="52"/>
    <s v="SI"/>
    <n v="0"/>
  </r>
  <r>
    <n v="431"/>
    <s v="42180597"/>
    <s v="D. fiscal de sociedades anónimas y/o asimiladas"/>
    <x v="11"/>
    <x v="5"/>
    <s v="Sin asignar"/>
    <s v="No maneja vencimiento"/>
    <s v="Sí"/>
    <s v="Sí"/>
    <s v="Transaccional"/>
    <x v="5"/>
    <s v="Ingresos"/>
    <x v="1"/>
    <x v="20"/>
    <x v="20"/>
    <x v="58"/>
    <x v="52"/>
    <s v="SI"/>
    <n v="0"/>
  </r>
  <r>
    <n v="434"/>
    <s v="42950501"/>
    <s v="Aprovechamientos"/>
    <x v="11"/>
    <x v="5"/>
    <s v="Sin asignar"/>
    <s v="No maneja vencimiento"/>
    <s v="No"/>
    <s v="Sí"/>
    <s v="Transaccional"/>
    <x v="5"/>
    <s v="Ingresos"/>
    <x v="1"/>
    <x v="20"/>
    <x v="20"/>
    <x v="59"/>
    <x v="42"/>
    <s v="SI"/>
    <n v="0"/>
  </r>
  <r>
    <n v="435"/>
    <s v="42950505"/>
    <s v="Otros Ingresos"/>
    <x v="11"/>
    <x v="5"/>
    <s v="Sin asignar"/>
    <s v="No maneja vencimiento"/>
    <s v="No"/>
    <s v="Sí"/>
    <s v="Transaccional"/>
    <x v="5"/>
    <s v="Ingresos"/>
    <x v="1"/>
    <x v="20"/>
    <x v="20"/>
    <x v="59"/>
    <x v="42"/>
    <s v="SI"/>
    <n v="0"/>
  </r>
  <r>
    <n v="436"/>
    <s v="42950597"/>
    <s v="D. fiscal aprovechamientos"/>
    <x v="11"/>
    <x v="5"/>
    <s v="Sin asignar"/>
    <s v="No maneja vencimiento"/>
    <s v="Sí"/>
    <s v="Sí"/>
    <s v="Transaccional"/>
    <x v="5"/>
    <s v="Ingresos"/>
    <x v="1"/>
    <x v="20"/>
    <x v="20"/>
    <x v="59"/>
    <x v="42"/>
    <s v="SI"/>
    <n v="0"/>
  </r>
  <r>
    <n v="438"/>
    <s v="42950901"/>
    <s v="SUBVENCIONES"/>
    <x v="12"/>
    <x v="5"/>
    <s v="Sin asignar"/>
    <s v="No maneja vencimiento"/>
    <s v="No"/>
    <s v="Sí"/>
    <s v="Transaccional"/>
    <x v="5"/>
    <s v="Ingresos"/>
    <x v="1"/>
    <x v="20"/>
    <x v="20"/>
    <x v="59"/>
    <x v="42"/>
    <s v="SI"/>
    <n v="0"/>
  </r>
  <r>
    <n v="440"/>
    <s v="42958101"/>
    <s v="Ajuste al peso"/>
    <x v="11"/>
    <x v="5"/>
    <s v="Sin asignar"/>
    <s v="No maneja vencimiento"/>
    <s v="No"/>
    <s v="Sí"/>
    <s v="Transaccional"/>
    <x v="5"/>
    <s v="Ingresos"/>
    <x v="1"/>
    <x v="20"/>
    <x v="20"/>
    <x v="59"/>
    <x v="42"/>
    <s v="SI"/>
    <n v="0"/>
  </r>
  <r>
    <n v="441"/>
    <s v="42958197"/>
    <s v="D. fiscal ajuste al peso"/>
    <x v="11"/>
    <x v="5"/>
    <s v="Sin asignar"/>
    <s v="No maneja vencimiento"/>
    <s v="Sí"/>
    <s v="Sí"/>
    <s v="Transaccional"/>
    <x v="5"/>
    <s v="Ingresos"/>
    <x v="1"/>
    <x v="20"/>
    <x v="20"/>
    <x v="59"/>
    <x v="42"/>
    <s v="SI"/>
    <n v="0"/>
  </r>
  <r>
    <n v="442"/>
    <s v="429595"/>
    <s v="Ingresos diversos POS"/>
    <x v="12"/>
    <x v="5"/>
    <s v="Sin asignar"/>
    <s v="No maneja vencimiento"/>
    <s v="No"/>
    <s v="Sí"/>
    <s v="Transaccional"/>
    <x v="5"/>
    <s v="Ingresos"/>
    <x v="1"/>
    <x v="20"/>
    <x v="20"/>
    <x v="59"/>
    <x v="42"/>
    <s v="SI"/>
    <n v="0"/>
  </r>
  <r>
    <n v="446"/>
    <s v="43050501"/>
    <s v="Revaluación de terrenos y edificaciones"/>
    <x v="11"/>
    <x v="5"/>
    <s v="Sin asignar"/>
    <s v="No maneja vencimiento"/>
    <s v="No"/>
    <s v="Sí"/>
    <s v="Transaccional"/>
    <x v="5"/>
    <s v="Ingresos"/>
    <x v="1"/>
    <x v="21"/>
    <x v="21"/>
    <x v="60"/>
    <x v="53"/>
    <s v="SI"/>
    <n v="0"/>
  </r>
  <r>
    <n v="447"/>
    <s v="43050597"/>
    <s v="D. fiscal revaluación de terrenos y edificaciones"/>
    <x v="11"/>
    <x v="5"/>
    <s v="Sin asignar"/>
    <s v="No maneja vencimiento"/>
    <s v="Sí"/>
    <s v="Sí"/>
    <s v="Transaccional"/>
    <x v="5"/>
    <s v="Ingresos"/>
    <x v="1"/>
    <x v="21"/>
    <x v="21"/>
    <x v="60"/>
    <x v="53"/>
    <s v="SI"/>
    <n v="0"/>
  </r>
  <r>
    <n v="449"/>
    <s v="43051001"/>
    <s v="Salvamento"/>
    <x v="11"/>
    <x v="5"/>
    <s v="Sin asignar"/>
    <s v="No maneja vencimiento"/>
    <s v="No"/>
    <s v="Sí"/>
    <s v="Transaccional"/>
    <x v="5"/>
    <s v="Ingresos"/>
    <x v="1"/>
    <x v="21"/>
    <x v="21"/>
    <x v="60"/>
    <x v="53"/>
    <s v="SI"/>
    <n v="0"/>
  </r>
  <r>
    <n v="450"/>
    <s v="43051097"/>
    <s v="D. fiscal salvamento"/>
    <x v="11"/>
    <x v="5"/>
    <s v="Sin asignar"/>
    <s v="No maneja vencimiento"/>
    <s v="Sí"/>
    <s v="Sí"/>
    <s v="Transaccional"/>
    <x v="5"/>
    <s v="Ingresos"/>
    <x v="1"/>
    <x v="21"/>
    <x v="21"/>
    <x v="60"/>
    <x v="53"/>
    <s v="SI"/>
    <n v="0"/>
  </r>
  <r>
    <n v="454"/>
    <s v="44050501"/>
    <s v="Ingresos por ganancia ocasional"/>
    <x v="11"/>
    <x v="5"/>
    <s v="Sin asignar"/>
    <s v="No maneja vencimiento"/>
    <s v="No"/>
    <s v="Sí"/>
    <s v="Transaccional"/>
    <x v="5"/>
    <s v="Ingresos"/>
    <x v="1"/>
    <x v="22"/>
    <x v="22"/>
    <x v="61"/>
    <x v="54"/>
    <s v="SI"/>
    <n v="0"/>
  </r>
  <r>
    <n v="455"/>
    <s v="44050597"/>
    <s v="D. fiscal Ingresos por ganancia ocasional"/>
    <x v="11"/>
    <x v="5"/>
    <s v="Sin asignar"/>
    <s v="No maneja vencimiento"/>
    <s v="Sí"/>
    <s v="Sí"/>
    <s v="Transaccional"/>
    <x v="5"/>
    <s v="Ingresos"/>
    <x v="1"/>
    <x v="22"/>
    <x v="22"/>
    <x v="61"/>
    <x v="54"/>
    <s v="SI"/>
    <n v="0"/>
  </r>
  <r>
    <n v="458"/>
    <s v="44100501"/>
    <s v="Recuperación de depreciación"/>
    <x v="11"/>
    <x v="5"/>
    <s v="Sin asignar"/>
    <s v="No maneja vencimiento"/>
    <s v="No"/>
    <s v="Sí"/>
    <s v="Transaccional"/>
    <x v="5"/>
    <s v="Ingresos"/>
    <x v="1"/>
    <x v="22"/>
    <x v="22"/>
    <x v="62"/>
    <x v="55"/>
    <s v="SI"/>
    <n v="0"/>
  </r>
  <r>
    <n v="459"/>
    <s v="44100597"/>
    <s v="D. fiscal recuperación de depreciación"/>
    <x v="11"/>
    <x v="5"/>
    <s v="Sin asignar"/>
    <s v="No maneja vencimiento"/>
    <s v="Sí"/>
    <s v="Sí"/>
    <s v="Transaccional"/>
    <x v="5"/>
    <s v="Ingresos"/>
    <x v="1"/>
    <x v="22"/>
    <x v="22"/>
    <x v="62"/>
    <x v="55"/>
    <s v="SI"/>
    <n v="0"/>
  </r>
  <r>
    <n v="192"/>
    <s v="21051001"/>
    <s v="Colpatria costo amortizado"/>
    <x v="13"/>
    <x v="6"/>
    <s v="Sin asignar"/>
    <s v="No maneja vencimiento"/>
    <s v="No"/>
    <s v="Sí"/>
    <s v="Transaccional"/>
    <x v="6"/>
    <s v="Pasivo"/>
    <x v="0"/>
    <x v="23"/>
    <x v="23"/>
    <x v="63"/>
    <x v="56"/>
    <s v="NO"/>
    <s v="Corto Termino"/>
  </r>
  <r>
    <n v="193"/>
    <s v="21051002"/>
    <s v="BBVA diferencia certificado"/>
    <x v="13"/>
    <x v="6"/>
    <s v="Sin asignar"/>
    <s v="No maneja vencimiento"/>
    <s v="No"/>
    <s v="Sí"/>
    <s v="Transaccional"/>
    <x v="6"/>
    <s v="Pasivo"/>
    <x v="0"/>
    <x v="23"/>
    <x v="23"/>
    <x v="63"/>
    <x v="56"/>
    <s v="NO"/>
    <s v="Corto Termino"/>
  </r>
  <r>
    <n v="196"/>
    <s v="21109501"/>
    <s v="Otros"/>
    <x v="13"/>
    <x v="6"/>
    <s v="Sin asignar"/>
    <s v="No maneja vencimiento"/>
    <s v="No"/>
    <s v="Sí"/>
    <s v="Transaccional"/>
    <x v="6"/>
    <s v="Pasivo"/>
    <x v="0"/>
    <x v="23"/>
    <x v="23"/>
    <x v="64"/>
    <x v="57"/>
    <s v="NO"/>
    <s v="Corto Termino"/>
  </r>
  <r>
    <n v="200"/>
    <s v="22050501"/>
    <s v="Proveedores nacionales"/>
    <x v="14"/>
    <x v="6"/>
    <s v="Sin asignar"/>
    <s v="No maneja vencimiento"/>
    <s v="No"/>
    <s v="Sí"/>
    <s v="Transaccional"/>
    <x v="6"/>
    <s v="Pasivo"/>
    <x v="0"/>
    <x v="24"/>
    <x v="24"/>
    <x v="65"/>
    <x v="58"/>
    <s v="NO"/>
    <s v="Corto Termino"/>
  </r>
  <r>
    <n v="203"/>
    <s v="22100501"/>
    <s v="Proveedores del exterior"/>
    <x v="14"/>
    <x v="6"/>
    <s v="Sin asignar"/>
    <s v="No maneja vencimiento"/>
    <s v="No"/>
    <s v="Sí"/>
    <s v="Transaccional"/>
    <x v="6"/>
    <s v="Pasivo"/>
    <x v="0"/>
    <x v="24"/>
    <x v="24"/>
    <x v="66"/>
    <x v="59"/>
    <s v="NO"/>
    <s v="Corto Termino"/>
  </r>
  <r>
    <n v="207"/>
    <s v="23050501"/>
    <s v="Cuentas corrientes comerciales"/>
    <x v="14"/>
    <x v="6"/>
    <s v="Sin asignar"/>
    <s v="No maneja vencimiento"/>
    <s v="No"/>
    <s v="Sí"/>
    <s v="Transaccional"/>
    <x v="6"/>
    <s v="Pasivo"/>
    <x v="0"/>
    <x v="25"/>
    <x v="25"/>
    <x v="67"/>
    <x v="60"/>
    <s v="NO"/>
    <s v="Corto Termino"/>
  </r>
  <r>
    <n v="210"/>
    <s v="23352501"/>
    <s v="Honorarios"/>
    <x v="14"/>
    <x v="6"/>
    <s v="Sin asignar"/>
    <s v="No maneja vencimiento"/>
    <s v="No"/>
    <s v="Sí"/>
    <s v="Transaccional"/>
    <x v="6"/>
    <s v="Pasivo"/>
    <x v="0"/>
    <x v="25"/>
    <x v="25"/>
    <x v="68"/>
    <x v="61"/>
    <s v="NO"/>
    <s v="Corto Termino"/>
  </r>
  <r>
    <n v="212"/>
    <s v="23359501"/>
    <s v="Otros"/>
    <x v="14"/>
    <x v="6"/>
    <s v="Sin asignar"/>
    <s v="Con vencimiento en proveedores"/>
    <s v="No"/>
    <s v="Sí"/>
    <s v="Transaccional"/>
    <x v="6"/>
    <s v="Pasivo"/>
    <x v="0"/>
    <x v="25"/>
    <x v="25"/>
    <x v="68"/>
    <x v="61"/>
    <s v="NO"/>
    <s v="Corto Termino"/>
  </r>
  <r>
    <n v="213"/>
    <s v="23359502"/>
    <s v="Otros Fredy Pardo"/>
    <x v="14"/>
    <x v="6"/>
    <s v="Sin asignar"/>
    <s v="Con vencimiento en proveedores"/>
    <s v="No"/>
    <s v="Sí"/>
    <s v="Transaccional"/>
    <x v="6"/>
    <s v="Pasivo"/>
    <x v="0"/>
    <x v="25"/>
    <x v="25"/>
    <x v="68"/>
    <x v="61"/>
    <s v="NO"/>
    <s v="Corto Termino"/>
  </r>
  <r>
    <n v="213"/>
    <s v="23359503"/>
    <s v="Reintegro Caja Menor"/>
    <x v="14"/>
    <x v="6"/>
    <s v="Sin asignar"/>
    <s v="Con vencimiento en proveedores"/>
    <s v="No"/>
    <s v="Sí"/>
    <s v="Transaccional"/>
    <x v="6"/>
    <s v="Pasivo"/>
    <x v="0"/>
    <x v="25"/>
    <x v="25"/>
    <x v="68"/>
    <x v="61"/>
    <s v="NO"/>
    <s v="Corto Termino"/>
  </r>
  <r>
    <n v="216"/>
    <s v="23550101"/>
    <s v="ACCIONISTAS        "/>
    <x v="15"/>
    <x v="6"/>
    <s v="Sin asignar"/>
    <s v="No maneja vencimiento"/>
    <s v="No"/>
    <s v="Sí"/>
    <s v="Transaccional"/>
    <x v="6"/>
    <s v="Pasivo"/>
    <x v="0"/>
    <x v="25"/>
    <x v="25"/>
    <x v="69"/>
    <x v="62"/>
    <s v="NO"/>
    <s v="Corto Termino"/>
  </r>
  <r>
    <n v="219"/>
    <s v="23650501"/>
    <s v="Salarios y pagos laborales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2"/>
    <s v="23651501"/>
    <s v="Honorarios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3"/>
    <s v="23651502"/>
    <s v="Devolución Honorarios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4"/>
    <s v="23651503"/>
    <s v="Retención 7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5"/>
    <s v="23651504"/>
    <s v="Devolución retención 7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6"/>
    <s v="23651505"/>
    <s v="Retención 3,5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7"/>
    <s v="23651506"/>
    <s v="Devolución retención 3,5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8"/>
    <s v="23651507"/>
    <s v="Retención 2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29"/>
    <s v="23651508"/>
    <s v="Devolución retención 2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0"/>
    <s v="23651509"/>
    <s v="Retención 1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1"/>
    <s v="23651510"/>
    <s v="Devolución retención 1%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3"/>
    <s v="23652001"/>
    <s v="Comisiones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4"/>
    <s v="23652002"/>
    <s v="Devolución Comisiones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6"/>
    <s v="23652501"/>
    <s v="Servicios 6%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7"/>
    <s v="23652502"/>
    <s v="Devolución Servicios 6%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8"/>
    <s v="23652503"/>
    <s v="Servicios 4%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39"/>
    <s v="23652504"/>
    <s v="Devolución Servicios 4%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40"/>
    <s v="23652505"/>
    <s v="Servicios  1 %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41"/>
    <s v="23652506"/>
    <s v="Devolución servicios  1 %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43"/>
    <s v="23653001"/>
    <s v="Arrendamientos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45"/>
    <s v="23653501"/>
    <s v="Rendimientos financieros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46"/>
    <s v="23653502"/>
    <s v="Rendimientos financieros 7 %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47"/>
    <s v="23653503"/>
    <s v="Devolución rendimientos financieros 7 %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49"/>
    <s v="23654001"/>
    <s v="Retención por compras 2,5%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50"/>
    <s v="23654002"/>
    <s v="Devolución Retención por compras 2,5%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51"/>
    <s v="23654004"/>
    <s v="Retención por compras 3,5%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52"/>
    <s v="23654005"/>
    <s v="Devolución Retención por compras 3,5%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54"/>
    <s v="23657001"/>
    <s v="Otras retenciones  2 %"/>
    <x v="14"/>
    <x v="6"/>
    <s v="Impuestos-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55"/>
    <s v="23657002"/>
    <s v="Devolución otras retenciones  2 %"/>
    <x v="14"/>
    <x v="6"/>
    <s v="Impuestos- Devolución compras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57"/>
    <s v="23657501"/>
    <s v="Autorretenciones"/>
    <x v="14"/>
    <x v="6"/>
    <s v="Sin asignar"/>
    <s v="No maneja vencimiento"/>
    <s v="No"/>
    <s v="Sí"/>
    <s v="Transaccional"/>
    <x v="6"/>
    <s v="Pasivo"/>
    <x v="0"/>
    <x v="25"/>
    <x v="25"/>
    <x v="70"/>
    <x v="63"/>
    <s v="NO"/>
    <s v="Corto Termino"/>
  </r>
  <r>
    <n v="260"/>
    <s v="23670101"/>
    <s v="Impuesto a las ventas retenido 15%"/>
    <x v="14"/>
    <x v="6"/>
    <s v="Impuestos- Compras"/>
    <s v="No maneja vencimiento"/>
    <s v="No"/>
    <s v="Sí"/>
    <s v="Transaccional"/>
    <x v="6"/>
    <s v="Pasivo"/>
    <x v="0"/>
    <x v="25"/>
    <x v="25"/>
    <x v="71"/>
    <x v="64"/>
    <s v="NO"/>
    <s v="Corto Termino"/>
  </r>
  <r>
    <n v="261"/>
    <s v="23670102"/>
    <s v="Devolución Impuesto a las ventas retenido 15%"/>
    <x v="14"/>
    <x v="6"/>
    <s v="Impuestos- Devolución compras"/>
    <s v="No maneja vencimiento"/>
    <s v="No"/>
    <s v="Sí"/>
    <s v="Transaccional"/>
    <x v="6"/>
    <s v="Pasivo"/>
    <x v="0"/>
    <x v="25"/>
    <x v="25"/>
    <x v="71"/>
    <x v="64"/>
    <s v="NO"/>
    <s v="Corto Termino"/>
  </r>
  <r>
    <n v="264"/>
    <s v="23676801"/>
    <s v="Impuesto a las ventas retenido"/>
    <x v="14"/>
    <x v="6"/>
    <s v="Sin asignar"/>
    <s v="No maneja vencimiento"/>
    <s v="No"/>
    <s v="Sí"/>
    <s v="Transaccional"/>
    <x v="6"/>
    <s v="Pasivo"/>
    <x v="0"/>
    <x v="25"/>
    <x v="25"/>
    <x v="71"/>
    <x v="64"/>
    <s v="NO"/>
    <s v="Corto Termino"/>
  </r>
  <r>
    <n v="267"/>
    <s v="23680501"/>
    <s v="Reteica 11,04"/>
    <x v="14"/>
    <x v="6"/>
    <s v="Impuestos-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68"/>
    <s v="23680502"/>
    <s v="Devolución Reteica 11,04"/>
    <x v="14"/>
    <x v="6"/>
    <s v="Impuestos- Devolución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69"/>
    <s v="23680503"/>
    <s v="Reteica 13,8"/>
    <x v="14"/>
    <x v="6"/>
    <s v="Impuestos-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0"/>
    <s v="23680504"/>
    <s v="Devolución Reteica 13,8"/>
    <x v="14"/>
    <x v="6"/>
    <s v="Impuestos- Devolución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1"/>
    <s v="23680505"/>
    <s v="Reteica 9,66"/>
    <x v="14"/>
    <x v="6"/>
    <s v="Impuestos-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2"/>
    <s v="23680506"/>
    <s v="Devolución Reteica 9,66"/>
    <x v="14"/>
    <x v="6"/>
    <s v="Impuestos- Devolución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3"/>
    <s v="23680507"/>
    <s v="Reteica 8"/>
    <x v="14"/>
    <x v="6"/>
    <s v="Impuestos-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4"/>
    <s v="23680508"/>
    <s v="Devolución Reteica 8"/>
    <x v="14"/>
    <x v="6"/>
    <s v="Impuestos- Devolución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5"/>
    <s v="23680509"/>
    <s v="Reteica 7"/>
    <x v="14"/>
    <x v="6"/>
    <s v="Impuestos-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6"/>
    <s v="23680510"/>
    <s v="Devolución Reteica 7"/>
    <x v="14"/>
    <x v="6"/>
    <s v="Impuestos- Devolución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7"/>
    <s v="23680511"/>
    <s v="Reteica 6,9"/>
    <x v="14"/>
    <x v="6"/>
    <s v="Impuestos-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8"/>
    <s v="23680512"/>
    <s v="Devolución Reteica 6,9"/>
    <x v="14"/>
    <x v="6"/>
    <s v="Impuestos- Devolución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79"/>
    <s v="23680513"/>
    <s v="Reteica 4,14"/>
    <x v="14"/>
    <x v="6"/>
    <s v="Impuestos-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80"/>
    <s v="23680514"/>
    <s v="Devolución Reteica 4,14"/>
    <x v="14"/>
    <x v="6"/>
    <s v="Impuestos- Devolución compras"/>
    <s v="No maneja vencimiento"/>
    <s v="No"/>
    <s v="Sí"/>
    <s v="Transaccional"/>
    <x v="6"/>
    <s v="Pasivo"/>
    <x v="0"/>
    <x v="25"/>
    <x v="25"/>
    <x v="72"/>
    <x v="65"/>
    <s v="NO"/>
    <s v="Corto Termino"/>
  </r>
  <r>
    <n v="283"/>
    <s v="23700501"/>
    <s v="Aportes a entidades promotoras de salud eps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85"/>
    <s v="23700601"/>
    <s v="Aporte a administradoras de riesgos profesionales, ARL"/>
    <x v="10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87"/>
    <s v="23701001"/>
    <s v="Aportes al icbf Sena y cajas de compensación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88"/>
    <s v="23701002"/>
    <s v="Sena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89"/>
    <s v="23701003"/>
    <s v="Icbf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91"/>
    <s v="23701501"/>
    <s v="Aportes arl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93"/>
    <s v="23702501"/>
    <s v="Embargos judiciales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95"/>
    <s v="23703001"/>
    <s v="Libranzas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97"/>
    <s v="23704501"/>
    <s v="Fondos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299"/>
    <s v="23705001"/>
    <s v="Ahorro afc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301"/>
    <s v="23709001"/>
    <s v="PLANILLAS SGSS POR PAGAR"/>
    <x v="14"/>
    <x v="6"/>
    <s v="Sin asignar"/>
    <s v="No maneja vencimiento"/>
    <s v="No"/>
    <s v="Sí"/>
    <s v="Transaccional"/>
    <x v="6"/>
    <s v="Pasivo"/>
    <x v="0"/>
    <x v="25"/>
    <x v="25"/>
    <x v="73"/>
    <x v="66"/>
    <s v="NO"/>
    <s v="Corto Termino"/>
  </r>
  <r>
    <n v="304"/>
    <s v="23803001"/>
    <s v="Fondos de cesantías y/o pensiones"/>
    <x v="14"/>
    <x v="6"/>
    <s v="Sin asignar"/>
    <s v="No maneja vencimiento"/>
    <s v="No"/>
    <s v="Sí"/>
    <s v="Transaccional"/>
    <x v="6"/>
    <s v="Pasivo"/>
    <x v="0"/>
    <x v="25"/>
    <x v="25"/>
    <x v="74"/>
    <x v="67"/>
    <s v="NO"/>
    <s v="Corto Termino"/>
  </r>
  <r>
    <n v="306"/>
    <s v="23809501"/>
    <s v="Otros"/>
    <x v="14"/>
    <x v="6"/>
    <s v="Sin asignar"/>
    <s v="No maneja vencimiento"/>
    <s v="No"/>
    <s v="Sí"/>
    <s v="Transaccional"/>
    <x v="6"/>
    <s v="Pasivo"/>
    <x v="0"/>
    <x v="25"/>
    <x v="25"/>
    <x v="74"/>
    <x v="67"/>
    <s v="NO"/>
    <s v="Corto Termino"/>
  </r>
  <r>
    <n v="310"/>
    <s v="24040501"/>
    <s v="Vigencia fiscal corriente"/>
    <x v="13"/>
    <x v="6"/>
    <s v="Sin asignar"/>
    <s v="No maneja vencimiento"/>
    <s v="No"/>
    <s v="Sí"/>
    <s v="Transaccional"/>
    <x v="6"/>
    <s v="Pasivo"/>
    <x v="0"/>
    <x v="26"/>
    <x v="26"/>
    <x v="75"/>
    <x v="68"/>
    <s v="NO"/>
    <s v="Corto Termino"/>
  </r>
  <r>
    <n v="313"/>
    <s v="24080601"/>
    <s v="Iva generado 19%"/>
    <x v="13"/>
    <x v="6"/>
    <s v="Impuestos - Vent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14"/>
    <s v="24080602"/>
    <s v="Iva generado 5%"/>
    <x v="13"/>
    <x v="6"/>
    <s v="Impuestos - Vent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16"/>
    <s v="24081001"/>
    <s v="Iva descontable por compras 19%"/>
    <x v="13"/>
    <x v="6"/>
    <s v="Impuestos- Compr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17"/>
    <s v="24081002"/>
    <s v="Iva Devolución en compras 19%"/>
    <x v="13"/>
    <x v="6"/>
    <s v="Impuestos- Devolución compr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18"/>
    <s v="24081003"/>
    <s v="Iva descontable por compras 5%"/>
    <x v="13"/>
    <x v="6"/>
    <s v="Impuestos- Compr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19"/>
    <s v="24081004"/>
    <s v="Iva Devolución en compras 5%"/>
    <x v="13"/>
    <x v="6"/>
    <s v="Impuestos- Devolución compr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21"/>
    <s v="24081501"/>
    <s v="Descontable por servicios 19%"/>
    <x v="13"/>
    <x v="6"/>
    <s v="Impuestos- Compr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23"/>
    <s v="24082001"/>
    <s v="Descontable por devoluciones 19%"/>
    <x v="13"/>
    <x v="6"/>
    <s v="Impuestos - Devolución vent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24"/>
    <s v="24082002"/>
    <s v="Descontable por devoluciones 5%"/>
    <x v="13"/>
    <x v="6"/>
    <s v="Impuestos - Devolución ventas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26"/>
    <s v="24083001"/>
    <s v="Descontable régimen simplificado"/>
    <x v="13"/>
    <x v="6"/>
    <s v="Sin asignar"/>
    <s v="No maneja vencimiento"/>
    <s v="No"/>
    <s v="Sí"/>
    <s v="Transaccional"/>
    <x v="6"/>
    <s v="Pasivo"/>
    <x v="0"/>
    <x v="26"/>
    <x v="26"/>
    <x v="76"/>
    <x v="69"/>
    <s v="NO"/>
    <s v="Corto Termino"/>
  </r>
  <r>
    <n v="327"/>
    <s v="240899"/>
    <s v="IVA POR PAGAR"/>
    <x v="15"/>
    <x v="6"/>
    <s v="Sin asignar"/>
    <s v="Con vencimiento en proveedores"/>
    <s v="No"/>
    <s v="Sí"/>
    <s v="Transaccional"/>
    <x v="6"/>
    <s v="Pasivo"/>
    <x v="0"/>
    <x v="26"/>
    <x v="26"/>
    <x v="76"/>
    <x v="69"/>
    <s v="NO"/>
    <s v="Corto Termino"/>
  </r>
  <r>
    <n v="329"/>
    <s v="246401"/>
    <s v="Impuesto por valor en ventas"/>
    <x v="2"/>
    <x v="6"/>
    <s v="Impuestos - Ventas"/>
    <s v="No maneja vencimiento"/>
    <s v="No"/>
    <s v="Sí"/>
    <s v="Transaccional"/>
    <x v="6"/>
    <s v="Pasivo"/>
    <x v="0"/>
    <x v="26"/>
    <x v="26"/>
    <x v="77"/>
    <x v="70"/>
    <s v="NO"/>
    <s v="Corto Termino"/>
  </r>
  <r>
    <n v="330"/>
    <s v="246402"/>
    <s v="Impuesto por valor en devolucion en ventas"/>
    <x v="13"/>
    <x v="6"/>
    <s v="Impuestos - Devolución ventas"/>
    <s v="No maneja vencimiento"/>
    <s v="No"/>
    <s v="Sí"/>
    <s v="Transaccional"/>
    <x v="6"/>
    <s v="Pasivo"/>
    <x v="0"/>
    <x v="26"/>
    <x v="26"/>
    <x v="77"/>
    <x v="70"/>
    <s v="NO"/>
    <s v="Corto Termino"/>
  </r>
  <r>
    <n v="331"/>
    <s v="246403"/>
    <s v="Impuesto por valor en compras"/>
    <x v="2"/>
    <x v="6"/>
    <s v="Impuestos- Compras"/>
    <s v="No maneja vencimiento"/>
    <s v="No"/>
    <s v="Sí"/>
    <s v="Transaccional"/>
    <x v="6"/>
    <s v="Pasivo"/>
    <x v="0"/>
    <x v="26"/>
    <x v="26"/>
    <x v="77"/>
    <x v="70"/>
    <s v="NO"/>
    <s v="Corto Termino"/>
  </r>
  <r>
    <n v="332"/>
    <s v="246404"/>
    <s v="Impuesto por valor en devolucion en compras"/>
    <x v="13"/>
    <x v="6"/>
    <s v="Impuestos- Devolución compras"/>
    <s v="No maneja vencimiento"/>
    <s v="No"/>
    <s v="Sí"/>
    <s v="Transaccional"/>
    <x v="6"/>
    <s v="Pasivo"/>
    <x v="0"/>
    <x v="26"/>
    <x v="26"/>
    <x v="77"/>
    <x v="70"/>
    <s v="NO"/>
    <s v="Corto Termino"/>
  </r>
  <r>
    <n v="335"/>
    <s v="24950101"/>
    <s v="Impuesto al consumo en ventas"/>
    <x v="2"/>
    <x v="6"/>
    <s v="Impuestos - Ventas"/>
    <s v="No maneja vencimiento"/>
    <s v="No"/>
    <s v="Sí"/>
    <s v="Transaccional"/>
    <x v="6"/>
    <s v="Pasivo"/>
    <x v="0"/>
    <x v="26"/>
    <x v="26"/>
    <x v="78"/>
    <x v="14"/>
    <s v="NO"/>
    <s v="Corto Termino"/>
  </r>
  <r>
    <n v="336"/>
    <s v="24950102"/>
    <s v="Impuesto al consumo en devolucion en ventas"/>
    <x v="13"/>
    <x v="6"/>
    <s v="Impuestos - Devolución ventas"/>
    <s v="No maneja vencimiento"/>
    <s v="No"/>
    <s v="Sí"/>
    <s v="Transaccional"/>
    <x v="6"/>
    <s v="Pasivo"/>
    <x v="0"/>
    <x v="26"/>
    <x v="26"/>
    <x v="78"/>
    <x v="14"/>
    <s v="NO"/>
    <s v="Corto Termino"/>
  </r>
  <r>
    <n v="337"/>
    <s v="24950103"/>
    <s v="Impuesto al consumo en compras"/>
    <x v="2"/>
    <x v="6"/>
    <s v="Impuestos- Compras"/>
    <s v="No maneja vencimiento"/>
    <s v="No"/>
    <s v="Sí"/>
    <s v="Transaccional"/>
    <x v="6"/>
    <s v="Pasivo"/>
    <x v="0"/>
    <x v="26"/>
    <x v="26"/>
    <x v="78"/>
    <x v="14"/>
    <s v="NO"/>
    <s v="Corto Termino"/>
  </r>
  <r>
    <n v="338"/>
    <s v="24950104"/>
    <s v="Impuesto al consumo en devolucion en compras"/>
    <x v="13"/>
    <x v="6"/>
    <s v="Impuestos- Devolución compras"/>
    <s v="No maneja vencimiento"/>
    <s v="No"/>
    <s v="Sí"/>
    <s v="Transaccional"/>
    <x v="6"/>
    <s v="Pasivo"/>
    <x v="0"/>
    <x v="26"/>
    <x v="26"/>
    <x v="78"/>
    <x v="14"/>
    <s v="NO"/>
    <s v="Corto Termino"/>
  </r>
  <r>
    <n v="339"/>
    <s v="249505"/>
    <s v="RST REGIMEN SIMPLE DE TRIBUTACION"/>
    <x v="15"/>
    <x v="6"/>
    <s v="Sin asignar"/>
    <s v="Con vencimiento en proveedores"/>
    <s v="No"/>
    <s v="Sí"/>
    <s v="Transaccional"/>
    <x v="6"/>
    <s v="Pasivo"/>
    <x v="0"/>
    <x v="26"/>
    <x v="26"/>
    <x v="78"/>
    <x v="14"/>
    <s v="NO"/>
    <s v="Corto Termino"/>
  </r>
  <r>
    <n v="343"/>
    <s v="25050501"/>
    <s v="Salarios por pagar"/>
    <x v="13"/>
    <x v="6"/>
    <s v="Sin asignar"/>
    <s v="No maneja vencimiento"/>
    <s v="No"/>
    <s v="Sí"/>
    <s v="Transaccional"/>
    <x v="6"/>
    <s v="Pasivo"/>
    <x v="0"/>
    <x v="27"/>
    <x v="27"/>
    <x v="79"/>
    <x v="71"/>
    <s v="NO"/>
    <s v="Corto Termino"/>
  </r>
  <r>
    <n v="347"/>
    <s v="2510100101"/>
    <s v="Cesantía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48"/>
    <s v="2510100102"/>
    <s v="Cesantía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50"/>
    <s v="2510100201"/>
    <s v="Intereses sobre cesantía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51"/>
    <s v="2510100202"/>
    <s v="Intereses sobre cesantía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53"/>
    <s v="2510100301"/>
    <s v="Vacacione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54"/>
    <s v="2510100302"/>
    <s v="Vacacione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56"/>
    <s v="2510100401"/>
    <s v="Prima de servicio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57"/>
    <s v="2510100402"/>
    <s v="Prima de servicios"/>
    <x v="13"/>
    <x v="6"/>
    <s v="Sin asignar"/>
    <s v="No maneja vencimiento"/>
    <s v="No"/>
    <s v="Sí"/>
    <s v="Transaccional"/>
    <x v="6"/>
    <s v="Pasivo"/>
    <x v="0"/>
    <x v="27"/>
    <x v="27"/>
    <x v="80"/>
    <x v="72"/>
    <s v="NO"/>
    <s v="Corto Termino"/>
  </r>
  <r>
    <n v="361"/>
    <s v="28050501"/>
    <s v="De clientes"/>
    <x v="13"/>
    <x v="6"/>
    <s v="Sin asignar"/>
    <s v="Con vencimiento en cartera"/>
    <s v="No"/>
    <s v="Sí"/>
    <s v="Transaccional"/>
    <x v="6"/>
    <s v="Pasivo"/>
    <x v="0"/>
    <x v="28"/>
    <x v="28"/>
    <x v="81"/>
    <x v="73"/>
    <s v="NO"/>
    <s v="Corto Termino"/>
  </r>
  <r>
    <n v="364"/>
    <s v="28150501"/>
    <s v="Valores recibidos para terceros"/>
    <x v="13"/>
    <x v="6"/>
    <s v="Sin asignar"/>
    <s v="No maneja vencimiento"/>
    <s v="No"/>
    <s v="Sí"/>
    <s v="Transaccional"/>
    <x v="6"/>
    <s v="Pasivo"/>
    <x v="0"/>
    <x v="28"/>
    <x v="28"/>
    <x v="82"/>
    <x v="74"/>
    <s v="NO"/>
    <s v="Corto Termino"/>
  </r>
  <r>
    <n v="369"/>
    <s v="31050501"/>
    <s v="Capital autorizado"/>
    <x v="16"/>
    <x v="7"/>
    <s v="Sin asignar"/>
    <s v="No maneja vencimiento"/>
    <s v="No"/>
    <s v="Sí"/>
    <s v="Transaccional"/>
    <x v="7"/>
    <s v="Patrimonio"/>
    <x v="0"/>
    <x v="29"/>
    <x v="29"/>
    <x v="83"/>
    <x v="75"/>
    <s v="NO"/>
    <n v="0"/>
  </r>
  <r>
    <n v="371"/>
    <s v="31051001"/>
    <s v="Capital por suscribir (db)"/>
    <x v="16"/>
    <x v="7"/>
    <s v="Sin asignar"/>
    <s v="No maneja vencimiento"/>
    <s v="No"/>
    <s v="Sí"/>
    <s v="Transaccional"/>
    <x v="7"/>
    <s v="Patrimonio"/>
    <x v="0"/>
    <x v="29"/>
    <x v="29"/>
    <x v="83"/>
    <x v="75"/>
    <s v="NO"/>
    <n v="0"/>
  </r>
  <r>
    <n v="375"/>
    <s v="32050501"/>
    <s v="Prima en colocación de acciones"/>
    <x v="16"/>
    <x v="7"/>
    <s v="Sin asignar"/>
    <s v="No maneja vencimiento"/>
    <s v="No"/>
    <s v="Sí"/>
    <s v="Transaccional"/>
    <x v="7"/>
    <s v="Patrimonio"/>
    <x v="0"/>
    <x v="30"/>
    <x v="30"/>
    <x v="84"/>
    <x v="76"/>
    <s v="NO"/>
    <n v="0"/>
  </r>
  <r>
    <n v="377"/>
    <s v="32052001"/>
    <s v="Superávit por el método de participación"/>
    <x v="16"/>
    <x v="7"/>
    <s v="Sin asignar"/>
    <s v="No maneja vencimiento"/>
    <s v="No"/>
    <s v="Sí"/>
    <s v="Transaccional"/>
    <x v="7"/>
    <s v="Patrimonio"/>
    <x v="0"/>
    <x v="30"/>
    <x v="30"/>
    <x v="84"/>
    <x v="76"/>
    <s v="NO"/>
    <n v="0"/>
  </r>
  <r>
    <n v="381"/>
    <s v="33050501"/>
    <s v="Reserva legal"/>
    <x v="16"/>
    <x v="7"/>
    <s v="Sin asignar"/>
    <s v="No maneja vencimiento"/>
    <s v="No"/>
    <s v="Sí"/>
    <s v="Transaccional"/>
    <x v="7"/>
    <s v="Patrimonio"/>
    <x v="0"/>
    <x v="31"/>
    <x v="31"/>
    <x v="85"/>
    <x v="77"/>
    <s v="NO"/>
    <n v="0"/>
  </r>
  <r>
    <n v="385"/>
    <s v="36050501"/>
    <s v="UTILIDAD DEL EJERCICIO        "/>
    <x v="16"/>
    <x v="7"/>
    <s v="Sin asignar"/>
    <s v="No maneja vencimiento"/>
    <s v="No"/>
    <s v="Sí"/>
    <s v="Transaccional"/>
    <x v="7"/>
    <s v="Patrimonio"/>
    <x v="0"/>
    <x v="32"/>
    <x v="32"/>
    <x v="86"/>
    <x v="78"/>
    <s v="NO"/>
    <n v="0"/>
  </r>
  <r>
    <n v="389"/>
    <s v="37050501"/>
    <s v="Utilidades o excedentes acumulados"/>
    <x v="16"/>
    <x v="7"/>
    <s v="Sin asignar"/>
    <s v="No maneja vencimiento"/>
    <s v="No"/>
    <s v="Sí"/>
    <s v="Transaccional"/>
    <x v="7"/>
    <s v="Patrimonio"/>
    <x v="0"/>
    <x v="33"/>
    <x v="33"/>
    <x v="87"/>
    <x v="79"/>
    <s v="NO"/>
    <n v="0"/>
  </r>
  <r>
    <n v="392"/>
    <s v="37100501"/>
    <s v="Otros aportes de capital"/>
    <x v="16"/>
    <x v="7"/>
    <s v="Sin asignar"/>
    <s v="No maneja vencimiento"/>
    <s v="No"/>
    <s v="Sí"/>
    <s v="Transaccional"/>
    <x v="7"/>
    <s v="Patrimonio"/>
    <x v="0"/>
    <x v="33"/>
    <x v="33"/>
    <x v="88"/>
    <x v="80"/>
    <s v="NO"/>
    <n v="0"/>
  </r>
  <r>
    <n v="396"/>
    <s v="39050501"/>
    <s v="Resultados fiscales de ventas en ganancia ocasional"/>
    <x v="16"/>
    <x v="7"/>
    <s v="Sin asignar"/>
    <s v="No maneja vencimiento"/>
    <s v="No"/>
    <s v="Sí"/>
    <s v="Transaccional"/>
    <x v="7"/>
    <s v="Patrimonio"/>
    <x v="0"/>
    <x v="34"/>
    <x v="34"/>
    <x v="89"/>
    <x v="81"/>
    <s v="NO"/>
    <n v="0"/>
  </r>
  <r>
    <n v="444"/>
    <s v="16980505"/>
    <s v="Amortización Acumulada"/>
    <x v="5"/>
    <x v="0"/>
    <s v="Grupo de activo fijo - Depreciación"/>
    <s v="No maneja vencimiento"/>
    <s v="No"/>
    <s v="Sí"/>
    <s v="Transaccional"/>
    <x v="0"/>
    <s v="Activo"/>
    <x v="0"/>
    <x v="5"/>
    <x v="5"/>
    <x v="90"/>
    <x v="82"/>
    <s v="NO"/>
    <s v="Largo Termino"/>
  </r>
  <r>
    <n v="445"/>
    <s v="51154001"/>
    <s v="De vehículos"/>
    <x v="9"/>
    <x v="4"/>
    <s v="Sin asignar"/>
    <s v="No maneja vencimiento"/>
    <s v="No"/>
    <s v="Sí"/>
    <s v="Transaccional"/>
    <x v="4"/>
    <s v="Gastos"/>
    <x v="1"/>
    <x v="15"/>
    <x v="15"/>
    <x v="34"/>
    <x v="34"/>
    <s v="SI"/>
    <n v="0"/>
  </r>
  <r>
    <n v="446"/>
    <s v="51159501"/>
    <s v="Otros impuestos"/>
    <x v="9"/>
    <x v="4"/>
    <s v="Sin asignar"/>
    <s v="No maneja vencimiento"/>
    <s v="No"/>
    <s v="Sí"/>
    <s v="Transaccional"/>
    <x v="4"/>
    <s v="Gastos"/>
    <x v="1"/>
    <x v="15"/>
    <x v="15"/>
    <x v="34"/>
    <x v="34"/>
    <s v="SI"/>
    <n v="0"/>
  </r>
  <r>
    <n v="447"/>
    <s v="51454001"/>
    <s v="Flota y equipo de transporte"/>
    <x v="9"/>
    <x v="4"/>
    <s v="Sin asignar"/>
    <s v="No maneja vencimiento"/>
    <s v="No"/>
    <s v="Sí"/>
    <s v="Transaccional"/>
    <x v="4"/>
    <s v="Gastos"/>
    <x v="1"/>
    <x v="15"/>
    <x v="15"/>
    <x v="39"/>
    <x v="38"/>
    <s v="SI"/>
    <n v="0"/>
  </r>
  <r>
    <n v="448"/>
    <s v="51651001"/>
    <s v="Intangibles"/>
    <x v="9"/>
    <x v="4"/>
    <s v="Grupo de activo fijo - Gastos de Depreciación"/>
    <s v="No maneja vencimiento"/>
    <s v="No"/>
    <s v="Sí"/>
    <s v="Transaccional"/>
    <x v="4"/>
    <s v="Gastos"/>
    <x v="1"/>
    <x v="15"/>
    <x v="15"/>
    <x v="91"/>
    <x v="83"/>
    <s v="NO"/>
    <n v="0"/>
  </r>
  <r>
    <n v="449"/>
    <s v="53952501"/>
    <s v="Donaciones"/>
    <x v="9"/>
    <x v="4"/>
    <s v="Sin asignar"/>
    <s v="No maneja vencimiento"/>
    <s v="No"/>
    <s v="Sí"/>
    <s v="Transaccional"/>
    <x v="4"/>
    <s v="Gastos"/>
    <x v="1"/>
    <x v="17"/>
    <x v="17"/>
    <x v="51"/>
    <x v="47"/>
    <s v="SI"/>
    <n v="0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8964B-CFA4-4725-9C79-C59F4B8369D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8:I32" firstHeaderRow="2" firstDataRow="2" firstDataCol="3" rowPageCount="5" colPageCount="1"/>
  <pivotFields count="19">
    <pivotField compact="0" outline="0" showAll="0"/>
    <pivotField compact="0" outline="0" showAll="0"/>
    <pivotField compact="0" outline="0" showAll="0"/>
    <pivotField axis="axisPage" compact="0" outline="0" showAll="0">
      <items count="18">
        <item x="5"/>
        <item x="0"/>
        <item x="6"/>
        <item x="2"/>
        <item x="14"/>
        <item x="7"/>
        <item x="9"/>
        <item x="11"/>
        <item x="4"/>
        <item x="8"/>
        <item x="1"/>
        <item x="3"/>
        <item x="10"/>
        <item x="12"/>
        <item x="13"/>
        <item x="15"/>
        <item x="16"/>
        <item t="default"/>
      </items>
    </pivotField>
    <pivotField axis="axisPage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9">
        <item x="0"/>
        <item x="6"/>
        <item x="7"/>
        <item x="5"/>
        <item x="4"/>
        <item x="2"/>
        <item x="1"/>
        <item x="3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axis="axisPage" compact="0" outline="0" showAll="0">
      <items count="36">
        <item x="0"/>
        <item x="1"/>
        <item x="2"/>
        <item x="3"/>
        <item x="4"/>
        <item x="5"/>
        <item x="6"/>
        <item x="7"/>
        <item x="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9"/>
        <item x="20"/>
        <item x="21"/>
        <item x="22"/>
        <item x="15"/>
        <item x="16"/>
        <item x="17"/>
        <item x="18"/>
        <item x="13"/>
        <item x="9"/>
        <item x="10"/>
        <item x="11"/>
        <item x="12"/>
        <item x="14"/>
        <item t="default"/>
      </items>
    </pivotField>
    <pivotField axis="axisRow" compact="0" outline="0" showAll="0" defaultSubtotal="0">
      <items count="35">
        <item x="25"/>
        <item x="15"/>
        <item x="34"/>
        <item x="27"/>
        <item x="29"/>
        <item x="12"/>
        <item x="13"/>
        <item x="9"/>
        <item x="11"/>
        <item x="14"/>
        <item x="2"/>
        <item x="0"/>
        <item x="21"/>
        <item x="7"/>
        <item x="18"/>
        <item x="19"/>
        <item x="22"/>
        <item x="5"/>
        <item x="3"/>
        <item x="1"/>
        <item x="10"/>
        <item x="8"/>
        <item x="6"/>
        <item x="17"/>
        <item x="20"/>
        <item x="23"/>
        <item x="28"/>
        <item x="26"/>
        <item x="4"/>
        <item x="24"/>
        <item x="31"/>
        <item x="33"/>
        <item x="32"/>
        <item x="30"/>
        <item x="16"/>
      </items>
    </pivotField>
    <pivotField axis="axisRow" compact="0" outline="0" showAll="0" defaultSubtota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90"/>
        <item x="22"/>
        <item x="23"/>
        <item x="2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53"/>
        <item x="54"/>
        <item x="55"/>
        <item x="56"/>
        <item x="57"/>
        <item x="58"/>
        <item x="59"/>
        <item x="60"/>
        <item x="61"/>
        <item x="62"/>
        <item x="32"/>
        <item x="33"/>
        <item x="34"/>
        <item x="35"/>
        <item x="36"/>
        <item x="37"/>
        <item x="38"/>
        <item x="39"/>
        <item x="40"/>
        <item x="41"/>
        <item x="42"/>
        <item x="91"/>
        <item x="43"/>
        <item x="44"/>
        <item x="45"/>
        <item x="46"/>
        <item x="47"/>
        <item x="48"/>
        <item x="49"/>
        <item x="50"/>
        <item x="51"/>
        <item x="52"/>
        <item x="29"/>
        <item x="30"/>
        <item x="25"/>
        <item x="26"/>
        <item x="27"/>
        <item x="28"/>
        <item x="31"/>
      </items>
    </pivotField>
    <pivotField axis="axisRow" compact="0" outline="0" showAll="0">
      <items count="85">
        <item x="4"/>
        <item x="5"/>
        <item x="67"/>
        <item x="50"/>
        <item x="39"/>
        <item x="82"/>
        <item x="83"/>
        <item x="9"/>
        <item x="8"/>
        <item x="73"/>
        <item x="66"/>
        <item x="35"/>
        <item x="1"/>
        <item x="56"/>
        <item x="0"/>
        <item x="75"/>
        <item x="6"/>
        <item x="49"/>
        <item x="29"/>
        <item x="16"/>
        <item x="28"/>
        <item x="80"/>
        <item x="25"/>
        <item x="27"/>
        <item x="61"/>
        <item x="60"/>
        <item x="2"/>
        <item x="7"/>
        <item x="10"/>
        <item x="24"/>
        <item x="70"/>
        <item x="68"/>
        <item x="57"/>
        <item x="20"/>
        <item x="41"/>
        <item x="43"/>
        <item x="62"/>
        <item x="11"/>
        <item x="51"/>
        <item x="42"/>
        <item x="22"/>
        <item x="18"/>
        <item x="17"/>
        <item x="45"/>
        <item x="19"/>
        <item x="32"/>
        <item x="40"/>
        <item x="47"/>
        <item x="46"/>
        <item x="37"/>
        <item x="33"/>
        <item x="64"/>
        <item x="23"/>
        <item x="65"/>
        <item x="48"/>
        <item x="69"/>
        <item x="34"/>
        <item x="52"/>
        <item x="54"/>
        <item x="74"/>
        <item x="55"/>
        <item x="3"/>
        <item x="21"/>
        <item x="26"/>
        <item x="38"/>
        <item x="13"/>
        <item x="14"/>
        <item x="44"/>
        <item x="72"/>
        <item x="76"/>
        <item x="53"/>
        <item x="59"/>
        <item x="58"/>
        <item x="12"/>
        <item x="77"/>
        <item x="79"/>
        <item x="78"/>
        <item x="81"/>
        <item x="63"/>
        <item x="71"/>
        <item x="36"/>
        <item x="30"/>
        <item x="15"/>
        <item x="31"/>
        <item t="default"/>
      </items>
    </pivotField>
    <pivotField compact="0" outline="0" showAll="0"/>
    <pivotField compact="0" outline="0" showAll="0"/>
  </pivotFields>
  <rowFields count="3">
    <field x="14"/>
    <field x="15"/>
    <field x="16"/>
  </rowFields>
  <rowItems count="23">
    <i>
      <x v="1"/>
      <x v="63"/>
      <x v="45"/>
    </i>
    <i r="1">
      <x v="64"/>
      <x v="50"/>
    </i>
    <i r="1">
      <x v="65"/>
      <x v="56"/>
    </i>
    <i r="1">
      <x v="66"/>
      <x v="11"/>
    </i>
    <i r="1">
      <x v="67"/>
      <x v="80"/>
    </i>
    <i r="1">
      <x v="68"/>
      <x v="81"/>
    </i>
    <i r="1">
      <x v="69"/>
      <x v="49"/>
    </i>
    <i r="1">
      <x v="70"/>
      <x v="64"/>
    </i>
    <i r="1">
      <x v="71"/>
      <x v="4"/>
    </i>
    <i r="1">
      <x v="72"/>
      <x v="46"/>
    </i>
    <i r="1">
      <x v="73"/>
      <x v="34"/>
    </i>
    <i r="1">
      <x v="74"/>
      <x v="6"/>
    </i>
    <i r="1">
      <x v="75"/>
      <x v="39"/>
    </i>
    <i r="1">
      <x v="76"/>
      <x v="35"/>
    </i>
    <i r="1">
      <x v="77"/>
      <x v="67"/>
    </i>
    <i>
      <x v="14"/>
      <x v="84"/>
      <x v="54"/>
    </i>
    <i>
      <x v="23"/>
      <x v="81"/>
      <x v="43"/>
    </i>
    <i r="1">
      <x v="82"/>
      <x v="48"/>
    </i>
    <i r="1">
      <x v="83"/>
      <x v="47"/>
    </i>
    <i>
      <x v="34"/>
      <x v="78"/>
      <x v="45"/>
    </i>
    <i r="1">
      <x v="79"/>
      <x v="81"/>
    </i>
    <i r="1">
      <x v="80"/>
      <x v="39"/>
    </i>
    <i t="grand">
      <x/>
    </i>
  </rowItems>
  <colItems count="1">
    <i/>
  </colItems>
  <pageFields count="5">
    <pageField fld="4" item="4" hier="-1"/>
    <pageField fld="10" hier="-1"/>
    <pageField fld="12" item="2" hier="-1"/>
    <pageField fld="13" hier="-1"/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C31" sqref="C31"/>
    </sheetView>
  </sheetViews>
  <sheetFormatPr baseColWidth="10" defaultRowHeight="15"/>
  <cols>
    <col bestFit="1" customWidth="1" min="1" max="1" width="39.140625"/>
    <col bestFit="1" customWidth="1" min="2" max="3" width="35.28515625"/>
  </cols>
  <sheetData>
    <row r="2">
      <c r="A2" s="14" t="s">
        <v>6</v>
      </c>
      <c r="B2" s="13" t="s">
        <v>836</v>
      </c>
    </row>
    <row r="3">
      <c r="A3" s="14" t="s">
        <v>1449</v>
      </c>
      <c r="B3" s="13" t="s">
        <v>1448</v>
      </c>
    </row>
    <row r="4">
      <c r="A4" s="14" t="s">
        <v>1409</v>
      </c>
      <c r="B4" s="13" t="s">
        <v>1411</v>
      </c>
    </row>
    <row r="5">
      <c r="A5" s="14" t="s">
        <v>1412</v>
      </c>
      <c r="B5" s="13" t="s">
        <v>1448</v>
      </c>
    </row>
    <row r="6">
      <c r="A6" s="14" t="s">
        <v>5</v>
      </c>
      <c r="B6" s="13" t="s">
        <v>1448</v>
      </c>
    </row>
    <row r="9">
      <c r="A9" s="14" t="s">
        <v>1413</v>
      </c>
      <c r="B9" s="14" t="s">
        <v>1414</v>
      </c>
      <c r="C9" s="14" t="s">
        <v>1415</v>
      </c>
    </row>
    <row r="10">
      <c r="A10" s="13" t="s">
        <v>829</v>
      </c>
      <c r="B10" s="13" t="s">
        <v>830</v>
      </c>
      <c r="C10" s="13" t="s">
        <v>831</v>
      </c>
    </row>
    <row r="11">
      <c r="B11" s="13" t="s">
        <v>953</v>
      </c>
      <c r="C11" s="13" t="s">
        <v>393</v>
      </c>
    </row>
    <row r="12">
      <c r="B12" s="13" t="s">
        <v>972</v>
      </c>
      <c r="C12" s="13" t="s">
        <v>973</v>
      </c>
    </row>
    <row r="13">
      <c r="B13" s="13" t="s">
        <v>987</v>
      </c>
      <c r="C13" s="13" t="s">
        <v>454</v>
      </c>
    </row>
    <row r="14">
      <c r="B14" s="13" t="s">
        <v>1004</v>
      </c>
      <c r="C14" s="13" t="s">
        <v>1005</v>
      </c>
    </row>
    <row r="15">
      <c r="B15" s="13" t="s">
        <v>1024</v>
      </c>
      <c r="C15" s="13" t="s">
        <v>441</v>
      </c>
    </row>
    <row r="16">
      <c r="B16" s="13" t="s">
        <v>1059</v>
      </c>
      <c r="C16" s="13" t="s">
        <v>1060</v>
      </c>
    </row>
    <row r="17">
      <c r="B17" s="13" t="s">
        <v>1071</v>
      </c>
      <c r="C17" s="13" t="s">
        <v>1072</v>
      </c>
    </row>
    <row r="18">
      <c r="B18" s="13" t="s">
        <v>1082</v>
      </c>
      <c r="C18" s="13" t="s">
        <v>1083</v>
      </c>
    </row>
    <row r="19">
      <c r="B19" s="13" t="s">
        <v>1093</v>
      </c>
      <c r="C19" s="13" t="s">
        <v>1094</v>
      </c>
    </row>
    <row r="20">
      <c r="B20" s="13" t="s">
        <v>1109</v>
      </c>
      <c r="C20" s="13" t="s">
        <v>1110</v>
      </c>
    </row>
    <row r="21">
      <c r="B21" s="13" t="s">
        <v>1124</v>
      </c>
      <c r="C21" s="13" t="s">
        <v>1125</v>
      </c>
    </row>
    <row r="22">
      <c r="B22" s="13" t="s">
        <v>1129</v>
      </c>
      <c r="C22" s="13" t="s">
        <v>778</v>
      </c>
    </row>
    <row r="23">
      <c r="B23" s="13" t="s">
        <v>1154</v>
      </c>
      <c r="C23" s="13" t="s">
        <v>1155</v>
      </c>
    </row>
    <row r="24">
      <c r="B24" s="13" t="s">
        <v>1158</v>
      </c>
      <c r="C24" s="13" t="s">
        <v>531</v>
      </c>
    </row>
    <row r="25">
      <c r="A25" s="13" t="s">
        <v>1452</v>
      </c>
      <c r="B25" s="13" t="s">
        <v>1311</v>
      </c>
      <c r="C25" s="13" t="s">
        <v>1310</v>
      </c>
    </row>
    <row r="26">
      <c r="A26" s="13" t="s">
        <v>1451</v>
      </c>
      <c r="B26" s="13" t="s">
        <v>1265</v>
      </c>
      <c r="C26" s="13" t="s">
        <v>755</v>
      </c>
    </row>
    <row r="27">
      <c r="B27" s="13" t="s">
        <v>1287</v>
      </c>
      <c r="C27" s="13" t="s">
        <v>1288</v>
      </c>
    </row>
    <row r="28">
      <c r="B28" s="13" t="s">
        <v>1298</v>
      </c>
      <c r="C28" s="13" t="s">
        <v>1299</v>
      </c>
    </row>
    <row r="29">
      <c r="A29" s="13" t="s">
        <v>1168</v>
      </c>
      <c r="B29" s="13" t="s">
        <v>1169</v>
      </c>
      <c r="C29" s="13" t="s">
        <v>831</v>
      </c>
    </row>
    <row r="30">
      <c r="B30" s="13" t="s">
        <v>1243</v>
      </c>
      <c r="C30" s="13" t="s">
        <v>441</v>
      </c>
    </row>
    <row r="31">
      <c r="B31" s="13" t="s">
        <v>1255</v>
      </c>
      <c r="C31" s="13" t="s">
        <v>778</v>
      </c>
    </row>
    <row r="32">
      <c r="A32" s="13" t="s">
        <v>1450</v>
      </c>
    </row>
  </sheetData>
  <pageMargins left="0.69999999999999996" right="0.69999999999999996" top="0.75" bottom="0.75" header="0.29999999999999999" footer="0.2999999999999999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summaryBelow="0"/>
  </sheetPr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bestFit="1" customWidth="1" min="1" max="1" style="1" width="8.28515625"/>
    <col bestFit="1" customWidth="1" min="2" max="2" width="11.28515625"/>
    <col bestFit="1" customWidth="1" min="3" max="3" width="51"/>
    <col bestFit="1" customWidth="1" min="4" max="4" width="20.5703125"/>
    <col customWidth="1" min="5" max="5" width="17.7109375"/>
    <col customWidth="1" min="6" max="6" width="17.85546875"/>
    <col bestFit="1" customWidth="1" min="7" max="7" width="28.140625"/>
    <col bestFit="1" customWidth="1" min="8" max="8" width="18.5703125"/>
    <col bestFit="1" customWidth="1" min="9" max="9" width="10.7109375"/>
    <col bestFit="1" customWidth="1" min="10" max="10" width="19.5703125"/>
    <col bestFit="1" customWidth="1" min="11" max="11" width="9.7109375"/>
    <col bestFit="1" customWidth="1" min="12" max="12" width="18"/>
    <col bestFit="1" customWidth="1" min="14" max="14" width="10.7109375"/>
    <col bestFit="1" customWidth="1" min="15" max="15" width="42.85546875"/>
    <col bestFit="1" customWidth="1" min="16" max="16" width="11.42578125"/>
    <col bestFit="1" customWidth="1" min="17" max="17" width="43.5703125"/>
    <col bestFit="1" customWidth="1" min="18" max="18" width="13.42578125"/>
    <col bestFit="1" customWidth="1" min="19" max="19" width="13.7109375"/>
  </cols>
  <sheetData>
    <row r="1" collapsed="1">
      <c r="A1" s="1" t="s">
        <v>1404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6</v>
      </c>
      <c r="L1" s="4" t="s">
        <v>1406</v>
      </c>
      <c r="M1" s="4" t="s">
        <v>1409</v>
      </c>
      <c r="N1" s="4" t="s">
        <v>1412</v>
      </c>
      <c r="O1" s="4" t="s">
        <v>1413</v>
      </c>
      <c r="P1" s="4" t="s">
        <v>1414</v>
      </c>
      <c r="Q1" s="4" t="s">
        <v>1415</v>
      </c>
      <c r="R1" s="4" t="s">
        <v>1416</v>
      </c>
      <c r="S1" s="4" t="s">
        <v>1421</v>
      </c>
    </row>
    <row r="2">
      <c r="A2" s="1">
        <v>5</v>
      </c>
      <c r="B2" s="3" t="s">
        <v>19</v>
      </c>
      <c r="C2" s="3" t="s">
        <v>18</v>
      </c>
      <c r="D2" s="3" t="s">
        <v>20</v>
      </c>
      <c r="E2" s="3" t="s">
        <v>10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>
        <f t="shared" ref="K2:K65" si="0">VALUE(LEFT(B2))</f>
        <v>1</v>
      </c>
      <c r="L2" s="1" t="str">
        <f>VLOOKUP(K2,List!$B$1:$D$10,2,0)</f>
        <v>Activo</v>
      </c>
      <c r="M2" t="str">
        <f>VLOOKUP(K2,List!$B$1:$D$10,3,0)</f>
        <v>Balance</v>
      </c>
      <c r="N2" t="str">
        <f t="shared" ref="N2:N65" si="1">LEFT(B2,2)</f>
        <v>11</v>
      </c>
      <c r="O2" t="str">
        <f>VLOOKUP(N2,List!$F$1:$G$36,2,0)</f>
        <v xml:space="preserve">Efectivo Y Equivalentes De Efectivo</v>
      </c>
      <c r="P2" t="str">
        <f t="shared" ref="P2:P65" si="2">LEFT(B2,4)</f>
        <v>1105</v>
      </c>
      <c r="Q2" t="str">
        <f>VLOOKUP(P2,PUC!$A$7:$B$869,2,0)</f>
        <v>Caja</v>
      </c>
      <c r="R2" t="s">
        <v>1422</v>
      </c>
      <c r="S2" t="str">
        <f>VLOOKUP(N2,List!$F:$H,3,0)</f>
        <v xml:space="preserve">Corto Termino</v>
      </c>
    </row>
    <row r="3">
      <c r="A3" s="1">
        <v>7</v>
      </c>
      <c r="B3" s="3" t="s">
        <v>28</v>
      </c>
      <c r="C3" s="3" t="s">
        <v>27</v>
      </c>
      <c r="D3" s="3" t="s">
        <v>20</v>
      </c>
      <c r="E3" s="3" t="s">
        <v>10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1">
        <f t="shared" si="0"/>
        <v>1</v>
      </c>
      <c r="L3" s="1" t="str">
        <f>VLOOKUP(K3,List!$B$1:$D$10,2,0)</f>
        <v>Activo</v>
      </c>
      <c r="M3" s="1" t="str">
        <f>VLOOKUP(K3,List!$B$1:$D$10,3,0)</f>
        <v>Balance</v>
      </c>
      <c r="N3" s="1" t="str">
        <f t="shared" si="1"/>
        <v>11</v>
      </c>
      <c r="O3" s="1" t="str">
        <f>VLOOKUP(N3,List!$F$1:$G$36,2,0)</f>
        <v xml:space="preserve">Efectivo Y Equivalentes De Efectivo</v>
      </c>
      <c r="P3" s="1" t="str">
        <f t="shared" si="2"/>
        <v>1105</v>
      </c>
      <c r="Q3" s="1" t="str">
        <f>VLOOKUP(P3,PUC!$A$7:$B$869,2,0)</f>
        <v>Caja</v>
      </c>
      <c r="R3" s="6" t="s">
        <v>1422</v>
      </c>
      <c r="S3" s="6" t="str">
        <f>VLOOKUP(N3,List!$F:$H,3,0)</f>
        <v xml:space="preserve">Corto Termino</v>
      </c>
    </row>
    <row r="4">
      <c r="A4" s="1">
        <v>8</v>
      </c>
      <c r="B4" s="3" t="s">
        <v>29</v>
      </c>
      <c r="C4" s="3" t="s">
        <v>30</v>
      </c>
      <c r="D4" s="3" t="s">
        <v>20</v>
      </c>
      <c r="E4" s="3" t="s">
        <v>10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1">
        <f t="shared" si="0"/>
        <v>1</v>
      </c>
      <c r="L4" s="1" t="str">
        <f>VLOOKUP(K4,List!$B$1:$D$10,2,0)</f>
        <v>Activo</v>
      </c>
      <c r="M4" s="1" t="str">
        <f>VLOOKUP(K4,List!$B$1:$D$10,3,0)</f>
        <v>Balance</v>
      </c>
      <c r="N4" s="1" t="str">
        <f t="shared" si="1"/>
        <v>11</v>
      </c>
      <c r="O4" s="1" t="str">
        <f>VLOOKUP(N4,List!$F$1:$G$36,2,0)</f>
        <v xml:space="preserve">Efectivo Y Equivalentes De Efectivo</v>
      </c>
      <c r="P4" s="1" t="str">
        <f t="shared" si="2"/>
        <v>1105</v>
      </c>
      <c r="Q4" s="1" t="str">
        <f>VLOOKUP(P4,PUC!$A$7:$B$869,2,0)</f>
        <v>Caja</v>
      </c>
      <c r="R4" s="6" t="s">
        <v>1422</v>
      </c>
      <c r="S4" s="6" t="str">
        <f>VLOOKUP(N4,List!$F:$H,3,0)</f>
        <v xml:space="preserve">Corto Termino</v>
      </c>
    </row>
    <row r="5">
      <c r="A5" s="1">
        <v>11</v>
      </c>
      <c r="B5" s="3" t="s">
        <v>35</v>
      </c>
      <c r="C5" s="3" t="s">
        <v>34</v>
      </c>
      <c r="D5" s="3" t="s">
        <v>20</v>
      </c>
      <c r="E5" s="3" t="s">
        <v>10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1">
        <f t="shared" si="0"/>
        <v>1</v>
      </c>
      <c r="L5" s="1" t="str">
        <f>VLOOKUP(K5,List!$B$1:$D$10,2,0)</f>
        <v>Activo</v>
      </c>
      <c r="M5" s="1" t="str">
        <f>VLOOKUP(K5,List!$B$1:$D$10,3,0)</f>
        <v>Balance</v>
      </c>
      <c r="N5" s="1" t="str">
        <f t="shared" si="1"/>
        <v>11</v>
      </c>
      <c r="O5" s="1" t="str">
        <f>VLOOKUP(N5,List!$F$1:$G$36,2,0)</f>
        <v xml:space="preserve">Efectivo Y Equivalentes De Efectivo</v>
      </c>
      <c r="P5" s="1" t="str">
        <f t="shared" si="2"/>
        <v>1110</v>
      </c>
      <c r="Q5" s="1" t="str">
        <f>VLOOKUP(P5,PUC!$A$7:$B$869,2,0)</f>
        <v>Bancos</v>
      </c>
      <c r="R5" s="6" t="s">
        <v>1422</v>
      </c>
      <c r="S5" s="6" t="str">
        <f>VLOOKUP(N5,List!$F:$H,3,0)</f>
        <v xml:space="preserve">Corto Termino</v>
      </c>
    </row>
    <row r="6">
      <c r="A6" s="1">
        <v>12</v>
      </c>
      <c r="B6" s="3" t="s">
        <v>36</v>
      </c>
      <c r="C6" s="3" t="s">
        <v>37</v>
      </c>
      <c r="D6" s="3" t="s">
        <v>20</v>
      </c>
      <c r="E6" s="3" t="s">
        <v>10</v>
      </c>
      <c r="F6" s="3" t="s">
        <v>38</v>
      </c>
      <c r="G6" s="3" t="s">
        <v>22</v>
      </c>
      <c r="H6" s="3" t="s">
        <v>23</v>
      </c>
      <c r="I6" s="3" t="s">
        <v>24</v>
      </c>
      <c r="J6" s="3" t="s">
        <v>25</v>
      </c>
      <c r="K6" s="1">
        <f t="shared" si="0"/>
        <v>1</v>
      </c>
      <c r="L6" s="1" t="str">
        <f>VLOOKUP(K6,List!$B$1:$D$10,2,0)</f>
        <v>Activo</v>
      </c>
      <c r="M6" s="1" t="str">
        <f>VLOOKUP(K6,List!$B$1:$D$10,3,0)</f>
        <v>Balance</v>
      </c>
      <c r="N6" s="1" t="str">
        <f t="shared" si="1"/>
        <v>11</v>
      </c>
      <c r="O6" s="1" t="str">
        <f>VLOOKUP(N6,List!$F$1:$G$36,2,0)</f>
        <v xml:space="preserve">Efectivo Y Equivalentes De Efectivo</v>
      </c>
      <c r="P6" s="1" t="str">
        <f t="shared" si="2"/>
        <v>1110</v>
      </c>
      <c r="Q6" s="1" t="str">
        <f>VLOOKUP(P6,PUC!$A$7:$B$869,2,0)</f>
        <v>Bancos</v>
      </c>
      <c r="R6" s="6" t="s">
        <v>1422</v>
      </c>
      <c r="S6" s="6" t="str">
        <f>VLOOKUP(N6,List!$F:$H,3,0)</f>
        <v xml:space="preserve">Corto Termino</v>
      </c>
    </row>
    <row r="7">
      <c r="A7" s="1">
        <v>13</v>
      </c>
      <c r="B7" s="3" t="s">
        <v>39</v>
      </c>
      <c r="C7" s="3" t="s">
        <v>40</v>
      </c>
      <c r="D7" s="3" t="s">
        <v>20</v>
      </c>
      <c r="E7" s="3" t="s">
        <v>10</v>
      </c>
      <c r="F7" s="3" t="s">
        <v>38</v>
      </c>
      <c r="G7" s="3" t="s">
        <v>22</v>
      </c>
      <c r="H7" s="3" t="s">
        <v>23</v>
      </c>
      <c r="I7" s="3" t="s">
        <v>24</v>
      </c>
      <c r="J7" s="3" t="s">
        <v>25</v>
      </c>
      <c r="K7" s="1">
        <f t="shared" si="0"/>
        <v>1</v>
      </c>
      <c r="L7" s="1" t="str">
        <f>VLOOKUP(K7,List!$B$1:$D$10,2,0)</f>
        <v>Activo</v>
      </c>
      <c r="M7" s="1" t="str">
        <f>VLOOKUP(K7,List!$B$1:$D$10,3,0)</f>
        <v>Balance</v>
      </c>
      <c r="N7" s="1" t="str">
        <f t="shared" si="1"/>
        <v>11</v>
      </c>
      <c r="O7" s="1" t="str">
        <f>VLOOKUP(N7,List!$F$1:$G$36,2,0)</f>
        <v xml:space="preserve">Efectivo Y Equivalentes De Efectivo</v>
      </c>
      <c r="P7" s="1" t="str">
        <f t="shared" si="2"/>
        <v>1110</v>
      </c>
      <c r="Q7" s="1" t="str">
        <f>VLOOKUP(P7,PUC!$A$7:$B$869,2,0)</f>
        <v>Bancos</v>
      </c>
      <c r="R7" s="6" t="s">
        <v>1422</v>
      </c>
      <c r="S7" s="6" t="str">
        <f>VLOOKUP(N7,List!$F:$H,3,0)</f>
        <v xml:space="preserve">Corto Termino</v>
      </c>
    </row>
    <row r="8">
      <c r="A8" s="1">
        <v>16</v>
      </c>
      <c r="B8" s="3" t="s">
        <v>44</v>
      </c>
      <c r="C8" s="3" t="s">
        <v>45</v>
      </c>
      <c r="D8" s="3" t="s">
        <v>20</v>
      </c>
      <c r="E8" s="3" t="s">
        <v>10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1">
        <f t="shared" si="0"/>
        <v>1</v>
      </c>
      <c r="L8" s="1" t="str">
        <f>VLOOKUP(K8,List!$B$1:$D$10,2,0)</f>
        <v>Activo</v>
      </c>
      <c r="M8" s="1" t="str">
        <f>VLOOKUP(K8,List!$B$1:$D$10,3,0)</f>
        <v>Balance</v>
      </c>
      <c r="N8" s="1" t="str">
        <f t="shared" si="1"/>
        <v>11</v>
      </c>
      <c r="O8" s="1" t="str">
        <f>VLOOKUP(N8,List!$F$1:$G$36,2,0)</f>
        <v xml:space="preserve">Efectivo Y Equivalentes De Efectivo</v>
      </c>
      <c r="P8" s="1" t="str">
        <f t="shared" si="2"/>
        <v>1120</v>
      </c>
      <c r="Q8" s="1" t="str">
        <f>VLOOKUP(P8,PUC!$A$7:$B$869,2,0)</f>
        <v xml:space="preserve">Cuentas de ahorro</v>
      </c>
      <c r="R8" s="6" t="s">
        <v>1422</v>
      </c>
      <c r="S8" s="6" t="str">
        <f>VLOOKUP(N8,List!$F:$H,3,0)</f>
        <v xml:space="preserve">Corto Termino</v>
      </c>
    </row>
    <row r="9">
      <c r="A9" s="1">
        <v>17</v>
      </c>
      <c r="B9" s="3" t="s">
        <v>46</v>
      </c>
      <c r="C9" s="3" t="s">
        <v>47</v>
      </c>
      <c r="D9" s="3" t="s">
        <v>20</v>
      </c>
      <c r="E9" s="3" t="s">
        <v>10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25</v>
      </c>
      <c r="K9" s="1">
        <f t="shared" si="0"/>
        <v>1</v>
      </c>
      <c r="L9" s="1" t="str">
        <f>VLOOKUP(K9,List!$B$1:$D$10,2,0)</f>
        <v>Activo</v>
      </c>
      <c r="M9" s="1" t="str">
        <f>VLOOKUP(K9,List!$B$1:$D$10,3,0)</f>
        <v>Balance</v>
      </c>
      <c r="N9" s="1" t="str">
        <f t="shared" si="1"/>
        <v>11</v>
      </c>
      <c r="O9" s="1" t="str">
        <f>VLOOKUP(N9,List!$F$1:$G$36,2,0)</f>
        <v xml:space="preserve">Efectivo Y Equivalentes De Efectivo</v>
      </c>
      <c r="P9" s="1" t="str">
        <f t="shared" si="2"/>
        <v>1120</v>
      </c>
      <c r="Q9" s="1" t="str">
        <f>VLOOKUP(P9,PUC!$A$7:$B$869,2,0)</f>
        <v xml:space="preserve">Cuentas de ahorro</v>
      </c>
      <c r="R9" s="6" t="s">
        <v>1422</v>
      </c>
      <c r="S9" s="6" t="str">
        <f>VLOOKUP(N9,List!$F:$H,3,0)</f>
        <v xml:space="preserve">Corto Termino</v>
      </c>
    </row>
    <row r="10">
      <c r="A10" s="1">
        <v>20</v>
      </c>
      <c r="B10" s="3" t="s">
        <v>52</v>
      </c>
      <c r="C10" s="3" t="s">
        <v>51</v>
      </c>
      <c r="D10" s="3" t="s">
        <v>20</v>
      </c>
      <c r="E10" s="3" t="s">
        <v>10</v>
      </c>
      <c r="F10" s="3" t="s">
        <v>21</v>
      </c>
      <c r="G10" s="3" t="s">
        <v>22</v>
      </c>
      <c r="H10" s="3" t="s">
        <v>23</v>
      </c>
      <c r="I10" s="3" t="s">
        <v>24</v>
      </c>
      <c r="J10" s="3" t="s">
        <v>25</v>
      </c>
      <c r="K10" s="1">
        <f t="shared" si="0"/>
        <v>1</v>
      </c>
      <c r="L10" s="1" t="str">
        <f>VLOOKUP(K10,List!$B$1:$D$10,2,0)</f>
        <v>Activo</v>
      </c>
      <c r="M10" s="1" t="str">
        <f>VLOOKUP(K10,List!$B$1:$D$10,3,0)</f>
        <v>Balance</v>
      </c>
      <c r="N10" s="1" t="str">
        <f t="shared" si="1"/>
        <v>11</v>
      </c>
      <c r="O10" s="1" t="str">
        <f>VLOOKUP(N10,List!$F$1:$G$36,2,0)</f>
        <v xml:space="preserve">Efectivo Y Equivalentes De Efectivo</v>
      </c>
      <c r="P10" s="1" t="str">
        <f t="shared" si="2"/>
        <v>1145</v>
      </c>
      <c r="Q10" s="1" t="str">
        <f>VLOOKUP(P10,PUC!$A$7:$B$869,2,0)</f>
        <v xml:space="preserve">Inversiones en efectivo</v>
      </c>
      <c r="R10" s="6" t="s">
        <v>1422</v>
      </c>
      <c r="S10" s="6" t="str">
        <f>VLOOKUP(N10,List!$F:$H,3,0)</f>
        <v xml:space="preserve">Corto Termino</v>
      </c>
    </row>
    <row r="11">
      <c r="A11" s="1">
        <v>21</v>
      </c>
      <c r="B11" s="3" t="s">
        <v>53</v>
      </c>
      <c r="C11" s="3" t="s">
        <v>54</v>
      </c>
      <c r="D11" s="3" t="s">
        <v>20</v>
      </c>
      <c r="E11" s="3" t="s">
        <v>10</v>
      </c>
      <c r="F11" s="3" t="s">
        <v>21</v>
      </c>
      <c r="G11" s="3" t="s">
        <v>22</v>
      </c>
      <c r="H11" s="3" t="s">
        <v>24</v>
      </c>
      <c r="I11" s="3" t="s">
        <v>24</v>
      </c>
      <c r="J11" s="3" t="s">
        <v>25</v>
      </c>
      <c r="K11" s="1">
        <f t="shared" si="0"/>
        <v>1</v>
      </c>
      <c r="L11" s="1" t="str">
        <f>VLOOKUP(K11,List!$B$1:$D$10,2,0)</f>
        <v>Activo</v>
      </c>
      <c r="M11" s="1" t="str">
        <f>VLOOKUP(K11,List!$B$1:$D$10,3,0)</f>
        <v>Balance</v>
      </c>
      <c r="N11" s="1" t="str">
        <f t="shared" si="1"/>
        <v>11</v>
      </c>
      <c r="O11" s="1" t="str">
        <f>VLOOKUP(N11,List!$F$1:$G$36,2,0)</f>
        <v xml:space="preserve">Efectivo Y Equivalentes De Efectivo</v>
      </c>
      <c r="P11" s="1" t="str">
        <f t="shared" si="2"/>
        <v>1145</v>
      </c>
      <c r="Q11" s="1" t="str">
        <f>VLOOKUP(P11,PUC!$A$7:$B$869,2,0)</f>
        <v xml:space="preserve">Inversiones en efectivo</v>
      </c>
      <c r="R11" s="6" t="s">
        <v>1422</v>
      </c>
      <c r="S11" s="6" t="str">
        <f>VLOOKUP(N11,List!$F:$H,3,0)</f>
        <v xml:space="preserve">Corto Termino</v>
      </c>
    </row>
    <row r="12">
      <c r="A12" s="1">
        <v>25</v>
      </c>
      <c r="B12" s="3" t="s">
        <v>61</v>
      </c>
      <c r="C12" s="3" t="s">
        <v>60</v>
      </c>
      <c r="D12" s="3" t="s">
        <v>62</v>
      </c>
      <c r="E12" s="3" t="s">
        <v>10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25</v>
      </c>
      <c r="K12" s="1">
        <f t="shared" si="0"/>
        <v>1</v>
      </c>
      <c r="L12" s="1" t="str">
        <f>VLOOKUP(K12,List!$B$1:$D$10,2,0)</f>
        <v>Activo</v>
      </c>
      <c r="M12" s="1" t="str">
        <f>VLOOKUP(K12,List!$B$1:$D$10,3,0)</f>
        <v>Balance</v>
      </c>
      <c r="N12" s="1" t="str">
        <f t="shared" si="1"/>
        <v>12</v>
      </c>
      <c r="O12" s="1" t="str">
        <f>VLOOKUP(N12,List!$F$1:$G$36,2,0)</f>
        <v xml:space="preserve">Inversiones En Asociadas</v>
      </c>
      <c r="P12" s="1" t="str">
        <f t="shared" si="2"/>
        <v>1205</v>
      </c>
      <c r="Q12" s="1" t="str">
        <f>VLOOKUP(P12,PUC!$A$7:$B$869,2,0)</f>
        <v>Acciones</v>
      </c>
      <c r="R12" s="6" t="s">
        <v>1422</v>
      </c>
      <c r="S12" s="6" t="str">
        <f>VLOOKUP(N12,List!$F:$H,3,0)</f>
        <v xml:space="preserve">Corto Termino</v>
      </c>
    </row>
    <row r="13">
      <c r="A13" s="1">
        <v>26</v>
      </c>
      <c r="B13" s="3" t="s">
        <v>63</v>
      </c>
      <c r="C13" s="3" t="s">
        <v>64</v>
      </c>
      <c r="D13" s="3" t="s">
        <v>62</v>
      </c>
      <c r="E13" s="3" t="s">
        <v>10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25</v>
      </c>
      <c r="K13" s="1">
        <f t="shared" si="0"/>
        <v>1</v>
      </c>
      <c r="L13" s="1" t="str">
        <f>VLOOKUP(K13,List!$B$1:$D$10,2,0)</f>
        <v>Activo</v>
      </c>
      <c r="M13" s="1" t="str">
        <f>VLOOKUP(K13,List!$B$1:$D$10,3,0)</f>
        <v>Balance</v>
      </c>
      <c r="N13" s="1" t="str">
        <f t="shared" si="1"/>
        <v>12</v>
      </c>
      <c r="O13" s="1" t="str">
        <f>VLOOKUP(N13,List!$F$1:$G$36,2,0)</f>
        <v xml:space="preserve">Inversiones En Asociadas</v>
      </c>
      <c r="P13" s="1" t="str">
        <f t="shared" si="2"/>
        <v>1205</v>
      </c>
      <c r="Q13" s="1" t="str">
        <f>VLOOKUP(P13,PUC!$A$7:$B$869,2,0)</f>
        <v>Acciones</v>
      </c>
      <c r="R13" s="6" t="s">
        <v>1422</v>
      </c>
      <c r="S13" s="6" t="str">
        <f>VLOOKUP(N13,List!$F:$H,3,0)</f>
        <v xml:space="preserve">Corto Termino</v>
      </c>
    </row>
    <row r="14">
      <c r="A14" s="1">
        <v>27</v>
      </c>
      <c r="B14" s="3" t="s">
        <v>65</v>
      </c>
      <c r="C14" s="3" t="s">
        <v>66</v>
      </c>
      <c r="D14" s="3" t="s">
        <v>62</v>
      </c>
      <c r="E14" s="3" t="s">
        <v>10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25</v>
      </c>
      <c r="K14" s="1">
        <f t="shared" si="0"/>
        <v>1</v>
      </c>
      <c r="L14" s="1" t="str">
        <f>VLOOKUP(K14,List!$B$1:$D$10,2,0)</f>
        <v>Activo</v>
      </c>
      <c r="M14" s="1" t="str">
        <f>VLOOKUP(K14,List!$B$1:$D$10,3,0)</f>
        <v>Balance</v>
      </c>
      <c r="N14" s="1" t="str">
        <f t="shared" si="1"/>
        <v>12</v>
      </c>
      <c r="O14" s="1" t="str">
        <f>VLOOKUP(N14,List!$F$1:$G$36,2,0)</f>
        <v xml:space="preserve">Inversiones En Asociadas</v>
      </c>
      <c r="P14" s="1" t="str">
        <f t="shared" si="2"/>
        <v>1205</v>
      </c>
      <c r="Q14" s="1" t="str">
        <f>VLOOKUP(P14,PUC!$A$7:$B$869,2,0)</f>
        <v>Acciones</v>
      </c>
      <c r="R14" s="6" t="s">
        <v>1422</v>
      </c>
      <c r="S14" s="6" t="str">
        <f>VLOOKUP(N14,List!$F:$H,3,0)</f>
        <v xml:space="preserve">Corto Termino</v>
      </c>
    </row>
    <row r="15">
      <c r="A15" s="1">
        <v>30</v>
      </c>
      <c r="B15" s="3" t="s">
        <v>70</v>
      </c>
      <c r="C15" s="3" t="s">
        <v>68</v>
      </c>
      <c r="D15" s="3" t="s">
        <v>62</v>
      </c>
      <c r="E15" s="3" t="s">
        <v>10</v>
      </c>
      <c r="F15" s="3" t="s">
        <v>21</v>
      </c>
      <c r="G15" s="3" t="s">
        <v>22</v>
      </c>
      <c r="H15" s="3" t="s">
        <v>23</v>
      </c>
      <c r="I15" s="3" t="s">
        <v>24</v>
      </c>
      <c r="J15" s="3" t="s">
        <v>25</v>
      </c>
      <c r="K15" s="1">
        <f t="shared" si="0"/>
        <v>1</v>
      </c>
      <c r="L15" s="1" t="str">
        <f>VLOOKUP(K15,List!$B$1:$D$10,2,0)</f>
        <v>Activo</v>
      </c>
      <c r="M15" s="1" t="str">
        <f>VLOOKUP(K15,List!$B$1:$D$10,3,0)</f>
        <v>Balance</v>
      </c>
      <c r="N15" s="1" t="str">
        <f t="shared" si="1"/>
        <v>12</v>
      </c>
      <c r="O15" s="1" t="str">
        <f>VLOOKUP(N15,List!$F$1:$G$36,2,0)</f>
        <v xml:space="preserve">Inversiones En Asociadas</v>
      </c>
      <c r="P15" s="1" t="str">
        <f t="shared" si="2"/>
        <v>1295</v>
      </c>
      <c r="Q15" s="1" t="str">
        <f>VLOOKUP(P15,PUC!$A$7:$B$869,2,0)</f>
        <v xml:space="preserve">Acciones o derechos en clubes deportivos</v>
      </c>
      <c r="R15" s="6" t="s">
        <v>1422</v>
      </c>
      <c r="S15" s="6" t="str">
        <f>VLOOKUP(N15,List!$F:$H,3,0)</f>
        <v xml:space="preserve">Corto Termino</v>
      </c>
    </row>
    <row r="16">
      <c r="A16" s="1">
        <v>32</v>
      </c>
      <c r="B16" s="3" t="s">
        <v>73</v>
      </c>
      <c r="C16" s="3" t="s">
        <v>72</v>
      </c>
      <c r="D16" s="3" t="s">
        <v>62</v>
      </c>
      <c r="E16" s="3" t="s">
        <v>10</v>
      </c>
      <c r="F16" s="3" t="s">
        <v>21</v>
      </c>
      <c r="G16" s="3" t="s">
        <v>22</v>
      </c>
      <c r="H16" s="3" t="s">
        <v>23</v>
      </c>
      <c r="I16" s="3" t="s">
        <v>24</v>
      </c>
      <c r="J16" s="3" t="s">
        <v>25</v>
      </c>
      <c r="K16" s="1">
        <f t="shared" si="0"/>
        <v>1</v>
      </c>
      <c r="L16" s="1" t="str">
        <f>VLOOKUP(K16,List!$B$1:$D$10,2,0)</f>
        <v>Activo</v>
      </c>
      <c r="M16" s="1" t="str">
        <f>VLOOKUP(K16,List!$B$1:$D$10,3,0)</f>
        <v>Balance</v>
      </c>
      <c r="N16" s="1" t="str">
        <f t="shared" si="1"/>
        <v>12</v>
      </c>
      <c r="O16" s="1" t="str">
        <f>VLOOKUP(N16,List!$F$1:$G$36,2,0)</f>
        <v xml:space="preserve">Inversiones En Asociadas</v>
      </c>
      <c r="P16" s="1" t="str">
        <f t="shared" si="2"/>
        <v>1295</v>
      </c>
      <c r="Q16" s="1" t="str">
        <f>VLOOKUP(P16,PUC!$A$7:$B$869,2,0)</f>
        <v xml:space="preserve">Acciones o derechos en clubes deportivos</v>
      </c>
      <c r="R16" s="6" t="s">
        <v>1422</v>
      </c>
      <c r="S16" s="6" t="str">
        <f>VLOOKUP(N16,List!$F:$H,3,0)</f>
        <v xml:space="preserve">Corto Termino</v>
      </c>
    </row>
    <row r="17">
      <c r="A17" s="1">
        <v>36</v>
      </c>
      <c r="B17" s="3" t="s">
        <v>79</v>
      </c>
      <c r="C17" s="3" t="s">
        <v>77</v>
      </c>
      <c r="D17" s="3" t="s">
        <v>80</v>
      </c>
      <c r="E17" s="3" t="s">
        <v>10</v>
      </c>
      <c r="F17" s="3" t="s">
        <v>21</v>
      </c>
      <c r="G17" s="3" t="s">
        <v>81</v>
      </c>
      <c r="H17" s="3" t="s">
        <v>23</v>
      </c>
      <c r="I17" s="3" t="s">
        <v>24</v>
      </c>
      <c r="J17" s="3" t="s">
        <v>25</v>
      </c>
      <c r="K17" s="1">
        <f t="shared" si="0"/>
        <v>1</v>
      </c>
      <c r="L17" s="1" t="str">
        <f>VLOOKUP(K17,List!$B$1:$D$10,2,0)</f>
        <v>Activo</v>
      </c>
      <c r="M17" s="1" t="str">
        <f>VLOOKUP(K17,List!$B$1:$D$10,3,0)</f>
        <v>Balance</v>
      </c>
      <c r="N17" s="1" t="str">
        <f t="shared" si="1"/>
        <v>13</v>
      </c>
      <c r="O17" s="1" t="str">
        <f>VLOOKUP(N17,List!$F$1:$G$36,2,0)</f>
        <v xml:space="preserve">Deudores Comerciales Y Otras Cuentas Por Cobrar</v>
      </c>
      <c r="P17" s="1" t="str">
        <f t="shared" si="2"/>
        <v>1305</v>
      </c>
      <c r="Q17" s="1" t="str">
        <f>VLOOKUP(P17,PUC!$A$7:$B$869,2,0)</f>
        <v xml:space="preserve">Clientes nacionales</v>
      </c>
      <c r="R17" s="6" t="s">
        <v>1422</v>
      </c>
      <c r="S17" s="6" t="str">
        <f>VLOOKUP(N17,List!$F:$H,3,0)</f>
        <v xml:space="preserve">Corto Termino</v>
      </c>
    </row>
    <row r="18">
      <c r="A18" s="1">
        <v>38</v>
      </c>
      <c r="B18" s="3" t="s">
        <v>84</v>
      </c>
      <c r="C18" s="3" t="s">
        <v>83</v>
      </c>
      <c r="D18" s="3" t="s">
        <v>80</v>
      </c>
      <c r="E18" s="3" t="s">
        <v>10</v>
      </c>
      <c r="F18" s="3" t="s">
        <v>21</v>
      </c>
      <c r="G18" s="3" t="s">
        <v>22</v>
      </c>
      <c r="H18" s="3" t="s">
        <v>23</v>
      </c>
      <c r="I18" s="3" t="s">
        <v>24</v>
      </c>
      <c r="J18" s="3" t="s">
        <v>25</v>
      </c>
      <c r="K18" s="1">
        <f t="shared" si="0"/>
        <v>1</v>
      </c>
      <c r="L18" s="1" t="str">
        <f>VLOOKUP(K18,List!$B$1:$D$10,2,0)</f>
        <v>Activo</v>
      </c>
      <c r="M18" s="1" t="str">
        <f>VLOOKUP(K18,List!$B$1:$D$10,3,0)</f>
        <v>Balance</v>
      </c>
      <c r="N18" s="1" t="str">
        <f t="shared" si="1"/>
        <v>13</v>
      </c>
      <c r="O18" s="1" t="str">
        <f>VLOOKUP(N18,List!$F$1:$G$36,2,0)</f>
        <v xml:space="preserve">Deudores Comerciales Y Otras Cuentas Por Cobrar</v>
      </c>
      <c r="P18" s="1" t="str">
        <f t="shared" si="2"/>
        <v>1305</v>
      </c>
      <c r="Q18" s="1" t="str">
        <f>VLOOKUP(P18,PUC!$A$7:$B$869,2,0)</f>
        <v xml:space="preserve">Clientes nacionales</v>
      </c>
      <c r="R18" s="6" t="s">
        <v>1422</v>
      </c>
      <c r="S18" s="6" t="str">
        <f>VLOOKUP(N18,List!$F:$H,3,0)</f>
        <v xml:space="preserve">Corto Termino</v>
      </c>
    </row>
    <row r="19">
      <c r="A19" s="1">
        <v>41</v>
      </c>
      <c r="B19" s="3" t="s">
        <v>89</v>
      </c>
      <c r="C19" s="3" t="s">
        <v>88</v>
      </c>
      <c r="D19" s="3" t="s">
        <v>80</v>
      </c>
      <c r="E19" s="3" t="s">
        <v>10</v>
      </c>
      <c r="F19" s="3" t="s">
        <v>21</v>
      </c>
      <c r="G19" s="3" t="s">
        <v>22</v>
      </c>
      <c r="H19" s="3" t="s">
        <v>23</v>
      </c>
      <c r="I19" s="3" t="s">
        <v>24</v>
      </c>
      <c r="J19" s="3" t="s">
        <v>25</v>
      </c>
      <c r="K19" s="1">
        <f t="shared" si="0"/>
        <v>1</v>
      </c>
      <c r="L19" s="1" t="str">
        <f>VLOOKUP(K19,List!$B$1:$D$10,2,0)</f>
        <v>Activo</v>
      </c>
      <c r="M19" s="1" t="str">
        <f>VLOOKUP(K19,List!$B$1:$D$10,3,0)</f>
        <v>Balance</v>
      </c>
      <c r="N19" s="1" t="str">
        <f t="shared" si="1"/>
        <v>13</v>
      </c>
      <c r="O19" s="1" t="str">
        <f>VLOOKUP(N19,List!$F$1:$G$36,2,0)</f>
        <v xml:space="preserve">Deudores Comerciales Y Otras Cuentas Por Cobrar</v>
      </c>
      <c r="P19" s="1" t="str">
        <f t="shared" si="2"/>
        <v>1325</v>
      </c>
      <c r="Q19" s="1" t="str">
        <f>VLOOKUP(P19,PUC!$A$7:$B$869,2,0)</f>
        <v xml:space="preserve">Cuentas por cobrar a socios y accionistas</v>
      </c>
      <c r="R19" s="6" t="s">
        <v>1422</v>
      </c>
      <c r="S19" s="6" t="str">
        <f>VLOOKUP(N19,List!$F:$H,3,0)</f>
        <v xml:space="preserve">Corto Termino</v>
      </c>
    </row>
    <row r="20">
      <c r="A20" s="1">
        <v>44</v>
      </c>
      <c r="B20" s="3" t="s">
        <v>94</v>
      </c>
      <c r="C20" s="3" t="s">
        <v>93</v>
      </c>
      <c r="D20" s="3" t="s">
        <v>80</v>
      </c>
      <c r="E20" s="3" t="s">
        <v>10</v>
      </c>
      <c r="F20" s="3" t="s">
        <v>21</v>
      </c>
      <c r="G20" s="3" t="s">
        <v>95</v>
      </c>
      <c r="H20" s="3" t="s">
        <v>23</v>
      </c>
      <c r="I20" s="3" t="s">
        <v>24</v>
      </c>
      <c r="J20" s="3" t="s">
        <v>25</v>
      </c>
      <c r="K20" s="1">
        <f t="shared" si="0"/>
        <v>1</v>
      </c>
      <c r="L20" s="1" t="str">
        <f>VLOOKUP(K20,List!$B$1:$D$10,2,0)</f>
        <v>Activo</v>
      </c>
      <c r="M20" s="1" t="str">
        <f>VLOOKUP(K20,List!$B$1:$D$10,3,0)</f>
        <v>Balance</v>
      </c>
      <c r="N20" s="1" t="str">
        <f t="shared" si="1"/>
        <v>13</v>
      </c>
      <c r="O20" s="1" t="str">
        <f>VLOOKUP(N20,List!$F$1:$G$36,2,0)</f>
        <v xml:space="preserve">Deudores Comerciales Y Otras Cuentas Por Cobrar</v>
      </c>
      <c r="P20" s="1" t="str">
        <f t="shared" si="2"/>
        <v>1330</v>
      </c>
      <c r="Q20" s="1" t="str">
        <f>VLOOKUP(P20,PUC!$A$7:$B$869,2,0)</f>
        <v xml:space="preserve">Anticipos y avances</v>
      </c>
      <c r="R20" s="6" t="s">
        <v>1422</v>
      </c>
      <c r="S20" s="6" t="str">
        <f>VLOOKUP(N20,List!$F:$H,3,0)</f>
        <v xml:space="preserve">Corto Termino</v>
      </c>
    </row>
    <row r="21">
      <c r="A21" s="1">
        <v>45</v>
      </c>
      <c r="B21" s="3" t="s">
        <v>96</v>
      </c>
      <c r="C21" s="3" t="s">
        <v>97</v>
      </c>
      <c r="D21" s="3" t="s">
        <v>80</v>
      </c>
      <c r="E21" s="3" t="s">
        <v>10</v>
      </c>
      <c r="F21" s="3" t="s">
        <v>21</v>
      </c>
      <c r="G21" s="3" t="s">
        <v>22</v>
      </c>
      <c r="H21" s="3" t="s">
        <v>24</v>
      </c>
      <c r="I21" s="3" t="s">
        <v>24</v>
      </c>
      <c r="J21" s="3" t="s">
        <v>25</v>
      </c>
      <c r="K21" s="1">
        <f t="shared" si="0"/>
        <v>1</v>
      </c>
      <c r="L21" s="1" t="str">
        <f>VLOOKUP(K21,List!$B$1:$D$10,2,0)</f>
        <v>Activo</v>
      </c>
      <c r="M21" s="1" t="str">
        <f>VLOOKUP(K21,List!$B$1:$D$10,3,0)</f>
        <v>Balance</v>
      </c>
      <c r="N21" s="1" t="str">
        <f t="shared" si="1"/>
        <v>13</v>
      </c>
      <c r="O21" s="1" t="str">
        <f>VLOOKUP(N21,List!$F$1:$G$36,2,0)</f>
        <v xml:space="preserve">Deudores Comerciales Y Otras Cuentas Por Cobrar</v>
      </c>
      <c r="P21" s="1" t="str">
        <f t="shared" si="2"/>
        <v>1330</v>
      </c>
      <c r="Q21" s="1" t="str">
        <f>VLOOKUP(P21,PUC!$A$7:$B$869,2,0)</f>
        <v xml:space="preserve">Anticipos y avances</v>
      </c>
      <c r="R21" s="6" t="s">
        <v>1422</v>
      </c>
      <c r="S21" s="6" t="str">
        <f>VLOOKUP(N21,List!$F:$H,3,0)</f>
        <v xml:space="preserve">Corto Termino</v>
      </c>
    </row>
    <row r="22">
      <c r="A22" s="1">
        <v>47</v>
      </c>
      <c r="B22" s="3" t="s">
        <v>100</v>
      </c>
      <c r="C22" s="3" t="s">
        <v>99</v>
      </c>
      <c r="D22" s="3" t="s">
        <v>80</v>
      </c>
      <c r="E22" s="3" t="s">
        <v>10</v>
      </c>
      <c r="F22" s="3" t="s">
        <v>21</v>
      </c>
      <c r="G22" s="3" t="s">
        <v>22</v>
      </c>
      <c r="H22" s="3" t="s">
        <v>23</v>
      </c>
      <c r="I22" s="3" t="s">
        <v>24</v>
      </c>
      <c r="J22" s="3" t="s">
        <v>25</v>
      </c>
      <c r="K22" s="1">
        <f t="shared" si="0"/>
        <v>1</v>
      </c>
      <c r="L22" s="1" t="str">
        <f>VLOOKUP(K22,List!$B$1:$D$10,2,0)</f>
        <v>Activo</v>
      </c>
      <c r="M22" s="1" t="str">
        <f>VLOOKUP(K22,List!$B$1:$D$10,3,0)</f>
        <v>Balance</v>
      </c>
      <c r="N22" s="1" t="str">
        <f t="shared" si="1"/>
        <v>13</v>
      </c>
      <c r="O22" s="1" t="str">
        <f>VLOOKUP(N22,List!$F$1:$G$36,2,0)</f>
        <v xml:space="preserve">Deudores Comerciales Y Otras Cuentas Por Cobrar</v>
      </c>
      <c r="P22" s="1" t="str">
        <f t="shared" si="2"/>
        <v>1330</v>
      </c>
      <c r="Q22" s="1" t="str">
        <f>VLOOKUP(P22,PUC!$A$7:$B$869,2,0)</f>
        <v xml:space="preserve">Anticipos y avances</v>
      </c>
      <c r="R22" s="6" t="s">
        <v>1422</v>
      </c>
      <c r="S22" s="6" t="str">
        <f>VLOOKUP(N22,List!$F:$H,3,0)</f>
        <v xml:space="preserve">Corto Termino</v>
      </c>
    </row>
    <row r="23">
      <c r="A23" s="1">
        <v>48</v>
      </c>
      <c r="B23" s="3" t="s">
        <v>101</v>
      </c>
      <c r="C23" s="3" t="s">
        <v>102</v>
      </c>
      <c r="D23" s="3" t="s">
        <v>80</v>
      </c>
      <c r="E23" s="3" t="s">
        <v>10</v>
      </c>
      <c r="F23" s="3" t="s">
        <v>21</v>
      </c>
      <c r="G23" s="3" t="s">
        <v>22</v>
      </c>
      <c r="H23" s="3" t="s">
        <v>24</v>
      </c>
      <c r="I23" s="3" t="s">
        <v>24</v>
      </c>
      <c r="J23" s="3" t="s">
        <v>25</v>
      </c>
      <c r="K23" s="1">
        <f t="shared" si="0"/>
        <v>1</v>
      </c>
      <c r="L23" s="1" t="str">
        <f>VLOOKUP(K23,List!$B$1:$D$10,2,0)</f>
        <v>Activo</v>
      </c>
      <c r="M23" s="1" t="str">
        <f>VLOOKUP(K23,List!$B$1:$D$10,3,0)</f>
        <v>Balance</v>
      </c>
      <c r="N23" s="1" t="str">
        <f t="shared" si="1"/>
        <v>13</v>
      </c>
      <c r="O23" s="1" t="str">
        <f>VLOOKUP(N23,List!$F$1:$G$36,2,0)</f>
        <v xml:space="preserve">Deudores Comerciales Y Otras Cuentas Por Cobrar</v>
      </c>
      <c r="P23" s="1" t="str">
        <f t="shared" si="2"/>
        <v>1330</v>
      </c>
      <c r="Q23" s="1" t="str">
        <f>VLOOKUP(P23,PUC!$A$7:$B$869,2,0)</f>
        <v xml:space="preserve">Anticipos y avances</v>
      </c>
      <c r="R23" s="6" t="s">
        <v>1422</v>
      </c>
      <c r="S23" s="6" t="str">
        <f>VLOOKUP(N23,List!$F:$H,3,0)</f>
        <v xml:space="preserve">Corto Termino</v>
      </c>
    </row>
    <row r="24">
      <c r="A24" s="1">
        <v>50</v>
      </c>
      <c r="B24" s="3" t="s">
        <v>105</v>
      </c>
      <c r="C24" s="3" t="s">
        <v>106</v>
      </c>
      <c r="D24" s="3" t="s">
        <v>80</v>
      </c>
      <c r="E24" s="3" t="s">
        <v>10</v>
      </c>
      <c r="F24" s="3" t="s">
        <v>21</v>
      </c>
      <c r="G24" s="3" t="s">
        <v>22</v>
      </c>
      <c r="H24" s="3" t="s">
        <v>23</v>
      </c>
      <c r="I24" s="3" t="s">
        <v>24</v>
      </c>
      <c r="J24" s="3" t="s">
        <v>25</v>
      </c>
      <c r="K24" s="1">
        <f t="shared" si="0"/>
        <v>1</v>
      </c>
      <c r="L24" s="1" t="str">
        <f>VLOOKUP(K24,List!$B$1:$D$10,2,0)</f>
        <v>Activo</v>
      </c>
      <c r="M24" s="1" t="str">
        <f>VLOOKUP(K24,List!$B$1:$D$10,3,0)</f>
        <v>Balance</v>
      </c>
      <c r="N24" s="1" t="str">
        <f t="shared" si="1"/>
        <v>13</v>
      </c>
      <c r="O24" s="1" t="str">
        <f>VLOOKUP(N24,List!$F$1:$G$36,2,0)</f>
        <v xml:space="preserve">Deudores Comerciales Y Otras Cuentas Por Cobrar</v>
      </c>
      <c r="P24" s="1" t="str">
        <f t="shared" si="2"/>
        <v>1330</v>
      </c>
      <c r="Q24" s="1" t="str">
        <f>VLOOKUP(P24,PUC!$A$7:$B$869,2,0)</f>
        <v xml:space="preserve">Anticipos y avances</v>
      </c>
      <c r="R24" s="6" t="s">
        <v>1422</v>
      </c>
      <c r="S24" s="6" t="str">
        <f>VLOOKUP(N24,List!$F:$H,3,0)</f>
        <v xml:space="preserve">Corto Termino</v>
      </c>
    </row>
    <row r="25">
      <c r="A25" s="1">
        <v>51</v>
      </c>
      <c r="B25" s="3" t="s">
        <v>107</v>
      </c>
      <c r="C25" s="3" t="s">
        <v>108</v>
      </c>
      <c r="D25" s="3" t="s">
        <v>80</v>
      </c>
      <c r="E25" s="3" t="s">
        <v>10</v>
      </c>
      <c r="F25" s="3" t="s">
        <v>21</v>
      </c>
      <c r="G25" s="3" t="s">
        <v>22</v>
      </c>
      <c r="H25" s="3" t="s">
        <v>23</v>
      </c>
      <c r="I25" s="3" t="s">
        <v>24</v>
      </c>
      <c r="J25" s="3" t="s">
        <v>25</v>
      </c>
      <c r="K25" s="1">
        <f t="shared" si="0"/>
        <v>1</v>
      </c>
      <c r="L25" s="1" t="str">
        <f>VLOOKUP(K25,List!$B$1:$D$10,2,0)</f>
        <v>Activo</v>
      </c>
      <c r="M25" s="1" t="str">
        <f>VLOOKUP(K25,List!$B$1:$D$10,3,0)</f>
        <v>Balance</v>
      </c>
      <c r="N25" s="1" t="str">
        <f t="shared" si="1"/>
        <v>13</v>
      </c>
      <c r="O25" s="1" t="str">
        <f>VLOOKUP(N25,List!$F$1:$G$36,2,0)</f>
        <v xml:space="preserve">Deudores Comerciales Y Otras Cuentas Por Cobrar</v>
      </c>
      <c r="P25" s="1" t="str">
        <f t="shared" si="2"/>
        <v>1330</v>
      </c>
      <c r="Q25" s="1" t="str">
        <f>VLOOKUP(P25,PUC!$A$7:$B$869,2,0)</f>
        <v xml:space="preserve">Anticipos y avances</v>
      </c>
      <c r="R25" s="6" t="s">
        <v>1422</v>
      </c>
      <c r="S25" s="6" t="str">
        <f>VLOOKUP(N25,List!$F:$H,3,0)</f>
        <v xml:space="preserve">Corto Termino</v>
      </c>
    </row>
    <row r="26">
      <c r="A26" s="1">
        <v>52</v>
      </c>
      <c r="B26" s="3" t="s">
        <v>109</v>
      </c>
      <c r="C26" s="3" t="s">
        <v>110</v>
      </c>
      <c r="D26" s="3" t="s">
        <v>80</v>
      </c>
      <c r="E26" s="3" t="s">
        <v>10</v>
      </c>
      <c r="F26" s="3" t="s">
        <v>21</v>
      </c>
      <c r="G26" s="3" t="s">
        <v>22</v>
      </c>
      <c r="H26" s="3" t="s">
        <v>24</v>
      </c>
      <c r="I26" s="3" t="s">
        <v>24</v>
      </c>
      <c r="J26" s="3" t="s">
        <v>25</v>
      </c>
      <c r="K26" s="1">
        <f t="shared" si="0"/>
        <v>1</v>
      </c>
      <c r="L26" s="1" t="str">
        <f>VLOOKUP(K26,List!$B$1:$D$10,2,0)</f>
        <v>Activo</v>
      </c>
      <c r="M26" s="1" t="str">
        <f>VLOOKUP(K26,List!$B$1:$D$10,3,0)</f>
        <v>Balance</v>
      </c>
      <c r="N26" s="1" t="str">
        <f t="shared" si="1"/>
        <v>13</v>
      </c>
      <c r="O26" s="1" t="str">
        <f>VLOOKUP(N26,List!$F$1:$G$36,2,0)</f>
        <v xml:space="preserve">Deudores Comerciales Y Otras Cuentas Por Cobrar</v>
      </c>
      <c r="P26" s="1" t="str">
        <f t="shared" si="2"/>
        <v>1330</v>
      </c>
      <c r="Q26" s="1" t="str">
        <f>VLOOKUP(P26,PUC!$A$7:$B$869,2,0)</f>
        <v xml:space="preserve">Anticipos y avances</v>
      </c>
      <c r="R26" s="6" t="s">
        <v>1422</v>
      </c>
      <c r="S26" s="6" t="str">
        <f>VLOOKUP(N26,List!$F:$H,3,0)</f>
        <v xml:space="preserve">Corto Termino</v>
      </c>
    </row>
    <row r="27">
      <c r="A27" s="1">
        <v>54</v>
      </c>
      <c r="B27" s="3" t="s">
        <v>112</v>
      </c>
      <c r="C27" s="3" t="s">
        <v>108</v>
      </c>
      <c r="D27" s="3" t="s">
        <v>80</v>
      </c>
      <c r="E27" s="3" t="s">
        <v>10</v>
      </c>
      <c r="F27" s="3" t="s">
        <v>21</v>
      </c>
      <c r="G27" s="3" t="s">
        <v>22</v>
      </c>
      <c r="H27" s="3" t="s">
        <v>23</v>
      </c>
      <c r="I27" s="3" t="s">
        <v>24</v>
      </c>
      <c r="J27" s="3" t="s">
        <v>25</v>
      </c>
      <c r="K27" s="1">
        <f t="shared" si="0"/>
        <v>1</v>
      </c>
      <c r="L27" s="1" t="str">
        <f>VLOOKUP(K27,List!$B$1:$D$10,2,0)</f>
        <v>Activo</v>
      </c>
      <c r="M27" s="1" t="str">
        <f>VLOOKUP(K27,List!$B$1:$D$10,3,0)</f>
        <v>Balance</v>
      </c>
      <c r="N27" s="1" t="str">
        <f t="shared" si="1"/>
        <v>13</v>
      </c>
      <c r="O27" s="1" t="str">
        <f>VLOOKUP(N27,List!$F$1:$G$36,2,0)</f>
        <v xml:space="preserve">Deudores Comerciales Y Otras Cuentas Por Cobrar</v>
      </c>
      <c r="P27" s="1" t="str">
        <f t="shared" si="2"/>
        <v>1330</v>
      </c>
      <c r="Q27" s="1" t="str">
        <f>VLOOKUP(P27,PUC!$A$7:$B$869,2,0)</f>
        <v xml:space="preserve">Anticipos y avances</v>
      </c>
      <c r="R27" s="6" t="s">
        <v>1422</v>
      </c>
      <c r="S27" s="6" t="str">
        <f>VLOOKUP(N27,List!$F:$H,3,0)</f>
        <v xml:space="preserve">Corto Termino</v>
      </c>
    </row>
    <row r="28">
      <c r="A28" s="1">
        <v>57</v>
      </c>
      <c r="B28" s="3" t="s">
        <v>117</v>
      </c>
      <c r="C28" s="3" t="s">
        <v>116</v>
      </c>
      <c r="D28" s="3" t="s">
        <v>80</v>
      </c>
      <c r="E28" s="3" t="s">
        <v>10</v>
      </c>
      <c r="F28" s="3" t="s">
        <v>21</v>
      </c>
      <c r="G28" s="3" t="s">
        <v>22</v>
      </c>
      <c r="H28" s="3" t="s">
        <v>23</v>
      </c>
      <c r="I28" s="3" t="s">
        <v>24</v>
      </c>
      <c r="J28" s="3" t="s">
        <v>25</v>
      </c>
      <c r="K28" s="1">
        <f t="shared" si="0"/>
        <v>1</v>
      </c>
      <c r="L28" s="1" t="str">
        <f>VLOOKUP(K28,List!$B$1:$D$10,2,0)</f>
        <v>Activo</v>
      </c>
      <c r="M28" s="1" t="str">
        <f>VLOOKUP(K28,List!$B$1:$D$10,3,0)</f>
        <v>Balance</v>
      </c>
      <c r="N28" s="1" t="str">
        <f t="shared" si="1"/>
        <v>13</v>
      </c>
      <c r="O28" s="1" t="str">
        <f>VLOOKUP(N28,List!$F$1:$G$36,2,0)</f>
        <v xml:space="preserve">Deudores Comerciales Y Otras Cuentas Por Cobrar</v>
      </c>
      <c r="P28" s="1" t="str">
        <f t="shared" si="2"/>
        <v>1355</v>
      </c>
      <c r="Q28" s="1" t="str">
        <f>VLOOKUP(P28,PUC!$A$7:$B$869,2,0)</f>
        <v xml:space="preserve">Anticipo de impuestos y contribuciones o</v>
      </c>
      <c r="R28" s="6" t="s">
        <v>1422</v>
      </c>
      <c r="S28" s="6" t="str">
        <f>VLOOKUP(N28,List!$F:$H,3,0)</f>
        <v xml:space="preserve">Corto Termino</v>
      </c>
    </row>
    <row r="29">
      <c r="A29" s="1">
        <v>59</v>
      </c>
      <c r="B29" s="3" t="s">
        <v>120</v>
      </c>
      <c r="C29" s="3" t="s">
        <v>121</v>
      </c>
      <c r="D29" s="3" t="s">
        <v>80</v>
      </c>
      <c r="E29" s="3" t="s">
        <v>10</v>
      </c>
      <c r="F29" s="3" t="s">
        <v>122</v>
      </c>
      <c r="G29" s="3" t="s">
        <v>22</v>
      </c>
      <c r="H29" s="3" t="s">
        <v>23</v>
      </c>
      <c r="I29" s="3" t="s">
        <v>24</v>
      </c>
      <c r="J29" s="3" t="s">
        <v>25</v>
      </c>
      <c r="K29" s="1">
        <f t="shared" si="0"/>
        <v>1</v>
      </c>
      <c r="L29" s="1" t="str">
        <f>VLOOKUP(K29,List!$B$1:$D$10,2,0)</f>
        <v>Activo</v>
      </c>
      <c r="M29" s="1" t="str">
        <f>VLOOKUP(K29,List!$B$1:$D$10,3,0)</f>
        <v>Balance</v>
      </c>
      <c r="N29" s="1" t="str">
        <f t="shared" si="1"/>
        <v>13</v>
      </c>
      <c r="O29" s="1" t="str">
        <f>VLOOKUP(N29,List!$F$1:$G$36,2,0)</f>
        <v xml:space="preserve">Deudores Comerciales Y Otras Cuentas Por Cobrar</v>
      </c>
      <c r="P29" s="1" t="str">
        <f t="shared" si="2"/>
        <v>1355</v>
      </c>
      <c r="Q29" s="1" t="str">
        <f>VLOOKUP(P29,PUC!$A$7:$B$869,2,0)</f>
        <v xml:space="preserve">Anticipo de impuestos y contribuciones o</v>
      </c>
      <c r="R29" s="6" t="s">
        <v>1422</v>
      </c>
      <c r="S29" s="6" t="str">
        <f>VLOOKUP(N29,List!$F:$H,3,0)</f>
        <v xml:space="preserve">Corto Termino</v>
      </c>
    </row>
    <row r="30">
      <c r="A30" s="13">
        <v>60</v>
      </c>
      <c r="B30" s="3" t="s">
        <v>123</v>
      </c>
      <c r="C30" s="3" t="s">
        <v>124</v>
      </c>
      <c r="D30" s="3" t="s">
        <v>80</v>
      </c>
      <c r="E30" s="3" t="s">
        <v>10</v>
      </c>
      <c r="F30" s="3" t="s">
        <v>125</v>
      </c>
      <c r="G30" s="3" t="s">
        <v>22</v>
      </c>
      <c r="H30" s="3" t="s">
        <v>23</v>
      </c>
      <c r="I30" s="3" t="s">
        <v>24</v>
      </c>
      <c r="J30" s="3" t="s">
        <v>25</v>
      </c>
      <c r="K30" s="13">
        <f t="shared" si="0"/>
        <v>1</v>
      </c>
      <c r="L30" s="13" t="str">
        <f>VLOOKUP(K30,List!$B$1:$D$10,2,0)</f>
        <v>Activo</v>
      </c>
      <c r="M30" s="13" t="str">
        <f>VLOOKUP(K30,List!$B$1:$D$10,3,0)</f>
        <v>Balance</v>
      </c>
      <c r="N30" s="13" t="str">
        <f t="shared" si="1"/>
        <v>13</v>
      </c>
      <c r="O30" s="13" t="str">
        <f>VLOOKUP(N30,List!$F$1:$G$36,2,0)</f>
        <v xml:space="preserve">Deudores Comerciales Y Otras Cuentas Por Cobrar</v>
      </c>
      <c r="P30" s="13" t="str">
        <f t="shared" si="2"/>
        <v>1355</v>
      </c>
      <c r="Q30" s="13" t="str">
        <f>VLOOKUP(P30,PUC!$A$7:$B$869,2,0)</f>
        <v xml:space="preserve">Anticipo de impuestos y contribuciones o</v>
      </c>
      <c r="R30" s="13" t="s">
        <v>1422</v>
      </c>
      <c r="S30" s="6" t="str">
        <f>VLOOKUP(N30,List!$F:$H,3,0)</f>
        <v xml:space="preserve">Corto Termino</v>
      </c>
    </row>
    <row r="31">
      <c r="A31" s="1">
        <v>61</v>
      </c>
      <c r="B31" s="3" t="s">
        <v>126</v>
      </c>
      <c r="C31" s="3" t="s">
        <v>127</v>
      </c>
      <c r="D31" s="3" t="s">
        <v>80</v>
      </c>
      <c r="E31" s="3" t="s">
        <v>10</v>
      </c>
      <c r="F31" s="3" t="s">
        <v>122</v>
      </c>
      <c r="G31" s="3" t="s">
        <v>22</v>
      </c>
      <c r="H31" s="3" t="s">
        <v>23</v>
      </c>
      <c r="I31" s="3" t="s">
        <v>24</v>
      </c>
      <c r="J31" s="3" t="s">
        <v>25</v>
      </c>
      <c r="K31" s="1">
        <f t="shared" si="0"/>
        <v>1</v>
      </c>
      <c r="L31" s="1" t="str">
        <f>VLOOKUP(K31,List!$B$1:$D$10,2,0)</f>
        <v>Activo</v>
      </c>
      <c r="M31" s="1" t="str">
        <f>VLOOKUP(K31,List!$B$1:$D$10,3,0)</f>
        <v>Balance</v>
      </c>
      <c r="N31" s="1" t="str">
        <f t="shared" si="1"/>
        <v>13</v>
      </c>
      <c r="O31" s="1" t="str">
        <f>VLOOKUP(N31,List!$F$1:$G$36,2,0)</f>
        <v xml:space="preserve">Deudores Comerciales Y Otras Cuentas Por Cobrar</v>
      </c>
      <c r="P31" s="1" t="str">
        <f t="shared" si="2"/>
        <v>1355</v>
      </c>
      <c r="Q31" s="1" t="str">
        <f>VLOOKUP(P31,PUC!$A$7:$B$869,2,0)</f>
        <v xml:space="preserve">Anticipo de impuestos y contribuciones o</v>
      </c>
      <c r="R31" s="6" t="s">
        <v>1422</v>
      </c>
      <c r="S31" s="6" t="str">
        <f>VLOOKUP(N31,List!$F:$H,3,0)</f>
        <v xml:space="preserve">Corto Termino</v>
      </c>
    </row>
    <row r="32">
      <c r="A32" s="1">
        <v>62</v>
      </c>
      <c r="B32" s="3" t="s">
        <v>128</v>
      </c>
      <c r="C32" s="3" t="s">
        <v>129</v>
      </c>
      <c r="D32" s="3" t="s">
        <v>80</v>
      </c>
      <c r="E32" s="3" t="s">
        <v>10</v>
      </c>
      <c r="F32" s="3" t="s">
        <v>125</v>
      </c>
      <c r="G32" s="3" t="s">
        <v>22</v>
      </c>
      <c r="H32" s="3" t="s">
        <v>23</v>
      </c>
      <c r="I32" s="3" t="s">
        <v>24</v>
      </c>
      <c r="J32" s="3" t="s">
        <v>25</v>
      </c>
      <c r="K32" s="1">
        <f t="shared" si="0"/>
        <v>1</v>
      </c>
      <c r="L32" s="1" t="str">
        <f>VLOOKUP(K32,List!$B$1:$D$10,2,0)</f>
        <v>Activo</v>
      </c>
      <c r="M32" s="1" t="str">
        <f>VLOOKUP(K32,List!$B$1:$D$10,3,0)</f>
        <v>Balance</v>
      </c>
      <c r="N32" s="1" t="str">
        <f t="shared" si="1"/>
        <v>13</v>
      </c>
      <c r="O32" s="1" t="str">
        <f>VLOOKUP(N32,List!$F$1:$G$36,2,0)</f>
        <v xml:space="preserve">Deudores Comerciales Y Otras Cuentas Por Cobrar</v>
      </c>
      <c r="P32" s="1" t="str">
        <f t="shared" si="2"/>
        <v>1355</v>
      </c>
      <c r="Q32" s="1" t="str">
        <f>VLOOKUP(P32,PUC!$A$7:$B$869,2,0)</f>
        <v xml:space="preserve">Anticipo de impuestos y contribuciones o</v>
      </c>
      <c r="R32" s="6" t="s">
        <v>1422</v>
      </c>
      <c r="S32" s="6" t="str">
        <f>VLOOKUP(N32,List!$F:$H,3,0)</f>
        <v xml:space="preserve">Corto Termino</v>
      </c>
    </row>
    <row r="33">
      <c r="A33" s="1">
        <v>63</v>
      </c>
      <c r="B33" s="3" t="s">
        <v>130</v>
      </c>
      <c r="C33" s="3" t="s">
        <v>131</v>
      </c>
      <c r="D33" s="3" t="s">
        <v>80</v>
      </c>
      <c r="E33" s="3" t="s">
        <v>10</v>
      </c>
      <c r="F33" s="3" t="s">
        <v>122</v>
      </c>
      <c r="G33" s="3" t="s">
        <v>22</v>
      </c>
      <c r="H33" s="3" t="s">
        <v>23</v>
      </c>
      <c r="I33" s="3" t="s">
        <v>24</v>
      </c>
      <c r="J33" s="3" t="s">
        <v>25</v>
      </c>
      <c r="K33" s="1">
        <f t="shared" si="0"/>
        <v>1</v>
      </c>
      <c r="L33" s="1" t="str">
        <f>VLOOKUP(K33,List!$B$1:$D$10,2,0)</f>
        <v>Activo</v>
      </c>
      <c r="M33" s="1" t="str">
        <f>VLOOKUP(K33,List!$B$1:$D$10,3,0)</f>
        <v>Balance</v>
      </c>
      <c r="N33" s="1" t="str">
        <f t="shared" si="1"/>
        <v>13</v>
      </c>
      <c r="O33" s="1" t="str">
        <f>VLOOKUP(N33,List!$F$1:$G$36,2,0)</f>
        <v xml:space="preserve">Deudores Comerciales Y Otras Cuentas Por Cobrar</v>
      </c>
      <c r="P33" s="1" t="str">
        <f t="shared" si="2"/>
        <v>1355</v>
      </c>
      <c r="Q33" s="1" t="str">
        <f>VLOOKUP(P33,PUC!$A$7:$B$869,2,0)</f>
        <v xml:space="preserve">Anticipo de impuestos y contribuciones o</v>
      </c>
      <c r="R33" s="6" t="s">
        <v>1422</v>
      </c>
      <c r="S33" s="6" t="str">
        <f>VLOOKUP(N33,List!$F:$H,3,0)</f>
        <v xml:space="preserve">Corto Termino</v>
      </c>
    </row>
    <row r="34">
      <c r="A34" s="1">
        <v>64</v>
      </c>
      <c r="B34" s="3" t="s">
        <v>132</v>
      </c>
      <c r="C34" s="3" t="s">
        <v>133</v>
      </c>
      <c r="D34" s="3" t="s">
        <v>80</v>
      </c>
      <c r="E34" s="3" t="s">
        <v>10</v>
      </c>
      <c r="F34" s="3" t="s">
        <v>125</v>
      </c>
      <c r="G34" s="3" t="s">
        <v>22</v>
      </c>
      <c r="H34" s="3" t="s">
        <v>23</v>
      </c>
      <c r="I34" s="3" t="s">
        <v>24</v>
      </c>
      <c r="J34" s="3" t="s">
        <v>25</v>
      </c>
      <c r="K34" s="1">
        <f t="shared" si="0"/>
        <v>1</v>
      </c>
      <c r="L34" s="1" t="str">
        <f>VLOOKUP(K34,List!$B$1:$D$10,2,0)</f>
        <v>Activo</v>
      </c>
      <c r="M34" s="1" t="str">
        <f>VLOOKUP(K34,List!$B$1:$D$10,3,0)</f>
        <v>Balance</v>
      </c>
      <c r="N34" s="1" t="str">
        <f t="shared" si="1"/>
        <v>13</v>
      </c>
      <c r="O34" s="1" t="str">
        <f>VLOOKUP(N34,List!$F$1:$G$36,2,0)</f>
        <v xml:space="preserve">Deudores Comerciales Y Otras Cuentas Por Cobrar</v>
      </c>
      <c r="P34" s="1" t="str">
        <f t="shared" si="2"/>
        <v>1355</v>
      </c>
      <c r="Q34" s="1" t="str">
        <f>VLOOKUP(P34,PUC!$A$7:$B$869,2,0)</f>
        <v xml:space="preserve">Anticipo de impuestos y contribuciones o</v>
      </c>
      <c r="R34" s="6" t="s">
        <v>1422</v>
      </c>
      <c r="S34" s="6" t="str">
        <f>VLOOKUP(N34,List!$F:$H,3,0)</f>
        <v xml:space="preserve">Corto Termino</v>
      </c>
    </row>
    <row r="35">
      <c r="A35" s="1">
        <v>65</v>
      </c>
      <c r="B35" s="3" t="s">
        <v>134</v>
      </c>
      <c r="C35" s="3" t="s">
        <v>135</v>
      </c>
      <c r="D35" s="3" t="s">
        <v>80</v>
      </c>
      <c r="E35" s="3" t="s">
        <v>10</v>
      </c>
      <c r="F35" s="3" t="s">
        <v>122</v>
      </c>
      <c r="G35" s="3" t="s">
        <v>22</v>
      </c>
      <c r="H35" s="3" t="s">
        <v>23</v>
      </c>
      <c r="I35" s="3" t="s">
        <v>24</v>
      </c>
      <c r="J35" s="3" t="s">
        <v>25</v>
      </c>
      <c r="K35" s="1">
        <f t="shared" si="0"/>
        <v>1</v>
      </c>
      <c r="L35" s="1" t="str">
        <f>VLOOKUP(K35,List!$B$1:$D$10,2,0)</f>
        <v>Activo</v>
      </c>
      <c r="M35" s="1" t="str">
        <f>VLOOKUP(K35,List!$B$1:$D$10,3,0)</f>
        <v>Balance</v>
      </c>
      <c r="N35" s="1" t="str">
        <f t="shared" si="1"/>
        <v>13</v>
      </c>
      <c r="O35" s="1" t="str">
        <f>VLOOKUP(N35,List!$F$1:$G$36,2,0)</f>
        <v xml:space="preserve">Deudores Comerciales Y Otras Cuentas Por Cobrar</v>
      </c>
      <c r="P35" s="1" t="str">
        <f t="shared" si="2"/>
        <v>1355</v>
      </c>
      <c r="Q35" s="1" t="str">
        <f>VLOOKUP(P35,PUC!$A$7:$B$869,2,0)</f>
        <v xml:space="preserve">Anticipo de impuestos y contribuciones o</v>
      </c>
      <c r="R35" s="6" t="s">
        <v>1422</v>
      </c>
      <c r="S35" s="6" t="str">
        <f>VLOOKUP(N35,List!$F:$H,3,0)</f>
        <v xml:space="preserve">Corto Termino</v>
      </c>
    </row>
    <row r="36">
      <c r="A36" s="1">
        <v>66</v>
      </c>
      <c r="B36" s="3" t="s">
        <v>136</v>
      </c>
      <c r="C36" s="3" t="s">
        <v>137</v>
      </c>
      <c r="D36" s="3" t="s">
        <v>80</v>
      </c>
      <c r="E36" s="3" t="s">
        <v>10</v>
      </c>
      <c r="F36" s="3" t="s">
        <v>125</v>
      </c>
      <c r="G36" s="3" t="s">
        <v>22</v>
      </c>
      <c r="H36" s="3" t="s">
        <v>23</v>
      </c>
      <c r="I36" s="3" t="s">
        <v>24</v>
      </c>
      <c r="J36" s="3" t="s">
        <v>25</v>
      </c>
      <c r="K36" s="1">
        <f t="shared" si="0"/>
        <v>1</v>
      </c>
      <c r="L36" s="1" t="str">
        <f>VLOOKUP(K36,List!$B$1:$D$10,2,0)</f>
        <v>Activo</v>
      </c>
      <c r="M36" s="1" t="str">
        <f>VLOOKUP(K36,List!$B$1:$D$10,3,0)</f>
        <v>Balance</v>
      </c>
      <c r="N36" s="1" t="str">
        <f t="shared" si="1"/>
        <v>13</v>
      </c>
      <c r="O36" s="1" t="str">
        <f>VLOOKUP(N36,List!$F$1:$G$36,2,0)</f>
        <v xml:space="preserve">Deudores Comerciales Y Otras Cuentas Por Cobrar</v>
      </c>
      <c r="P36" s="1" t="str">
        <f t="shared" si="2"/>
        <v>1355</v>
      </c>
      <c r="Q36" s="1" t="str">
        <f>VLOOKUP(P36,PUC!$A$7:$B$869,2,0)</f>
        <v xml:space="preserve">Anticipo de impuestos y contribuciones o</v>
      </c>
      <c r="R36" s="6" t="s">
        <v>1422</v>
      </c>
      <c r="S36" s="6" t="str">
        <f>VLOOKUP(N36,List!$F:$H,3,0)</f>
        <v xml:space="preserve">Corto Termino</v>
      </c>
    </row>
    <row r="37">
      <c r="A37" s="1">
        <v>67</v>
      </c>
      <c r="B37" s="3" t="s">
        <v>138</v>
      </c>
      <c r="C37" s="3" t="s">
        <v>139</v>
      </c>
      <c r="D37" s="3" t="s">
        <v>80</v>
      </c>
      <c r="E37" s="3" t="s">
        <v>10</v>
      </c>
      <c r="F37" s="3" t="s">
        <v>122</v>
      </c>
      <c r="G37" s="3" t="s">
        <v>22</v>
      </c>
      <c r="H37" s="3" t="s">
        <v>23</v>
      </c>
      <c r="I37" s="3" t="s">
        <v>24</v>
      </c>
      <c r="J37" s="3" t="s">
        <v>25</v>
      </c>
      <c r="K37" s="1">
        <f t="shared" si="0"/>
        <v>1</v>
      </c>
      <c r="L37" s="1" t="str">
        <f>VLOOKUP(K37,List!$B$1:$D$10,2,0)</f>
        <v>Activo</v>
      </c>
      <c r="M37" s="1" t="str">
        <f>VLOOKUP(K37,List!$B$1:$D$10,3,0)</f>
        <v>Balance</v>
      </c>
      <c r="N37" s="1" t="str">
        <f t="shared" si="1"/>
        <v>13</v>
      </c>
      <c r="O37" s="1" t="str">
        <f>VLOOKUP(N37,List!$F$1:$G$36,2,0)</f>
        <v xml:space="preserve">Deudores Comerciales Y Otras Cuentas Por Cobrar</v>
      </c>
      <c r="P37" s="1" t="str">
        <f t="shared" si="2"/>
        <v>1355</v>
      </c>
      <c r="Q37" s="1" t="str">
        <f>VLOOKUP(P37,PUC!$A$7:$B$869,2,0)</f>
        <v xml:space="preserve">Anticipo de impuestos y contribuciones o</v>
      </c>
      <c r="R37" s="6" t="s">
        <v>1422</v>
      </c>
      <c r="S37" s="6" t="str">
        <f>VLOOKUP(N37,List!$F:$H,3,0)</f>
        <v xml:space="preserve">Corto Termino</v>
      </c>
    </row>
    <row r="38">
      <c r="A38" s="1">
        <v>68</v>
      </c>
      <c r="B38" s="3" t="s">
        <v>140</v>
      </c>
      <c r="C38" s="3" t="s">
        <v>141</v>
      </c>
      <c r="D38" s="3" t="s">
        <v>80</v>
      </c>
      <c r="E38" s="3" t="s">
        <v>10</v>
      </c>
      <c r="F38" s="3" t="s">
        <v>125</v>
      </c>
      <c r="G38" s="3" t="s">
        <v>22</v>
      </c>
      <c r="H38" s="3" t="s">
        <v>23</v>
      </c>
      <c r="I38" s="3" t="s">
        <v>24</v>
      </c>
      <c r="J38" s="3" t="s">
        <v>25</v>
      </c>
      <c r="K38" s="1">
        <f t="shared" si="0"/>
        <v>1</v>
      </c>
      <c r="L38" s="1" t="str">
        <f>VLOOKUP(K38,List!$B$1:$D$10,2,0)</f>
        <v>Activo</v>
      </c>
      <c r="M38" s="1" t="str">
        <f>VLOOKUP(K38,List!$B$1:$D$10,3,0)</f>
        <v>Balance</v>
      </c>
      <c r="N38" s="1" t="str">
        <f t="shared" si="1"/>
        <v>13</v>
      </c>
      <c r="O38" s="1" t="str">
        <f>VLOOKUP(N38,List!$F$1:$G$36,2,0)</f>
        <v xml:space="preserve">Deudores Comerciales Y Otras Cuentas Por Cobrar</v>
      </c>
      <c r="P38" s="1" t="str">
        <f t="shared" si="2"/>
        <v>1355</v>
      </c>
      <c r="Q38" s="1" t="str">
        <f>VLOOKUP(P38,PUC!$A$7:$B$869,2,0)</f>
        <v xml:space="preserve">Anticipo de impuestos y contribuciones o</v>
      </c>
      <c r="R38" s="6" t="s">
        <v>1422</v>
      </c>
      <c r="S38" s="6" t="str">
        <f>VLOOKUP(N38,List!$F:$H,3,0)</f>
        <v xml:space="preserve">Corto Termino</v>
      </c>
    </row>
    <row r="39">
      <c r="A39" s="13">
        <v>69</v>
      </c>
      <c r="B39" s="3" t="s">
        <v>142</v>
      </c>
      <c r="C39" s="3" t="s">
        <v>143</v>
      </c>
      <c r="D39" s="3" t="s">
        <v>80</v>
      </c>
      <c r="E39" s="3" t="s">
        <v>10</v>
      </c>
      <c r="F39" s="3" t="s">
        <v>122</v>
      </c>
      <c r="G39" s="3" t="s">
        <v>22</v>
      </c>
      <c r="H39" s="3" t="s">
        <v>23</v>
      </c>
      <c r="I39" s="3" t="s">
        <v>24</v>
      </c>
      <c r="J39" s="3" t="s">
        <v>25</v>
      </c>
      <c r="K39" s="13">
        <f t="shared" si="0"/>
        <v>1</v>
      </c>
      <c r="L39" s="13" t="str">
        <f>VLOOKUP(K39,List!$B$1:$D$10,2,0)</f>
        <v>Activo</v>
      </c>
      <c r="M39" s="13" t="str">
        <f>VLOOKUP(K39,List!$B$1:$D$10,3,0)</f>
        <v>Balance</v>
      </c>
      <c r="N39" s="1" t="str">
        <f t="shared" si="1"/>
        <v>13</v>
      </c>
      <c r="O39" s="1" t="str">
        <f>VLOOKUP(N39,List!$F$1:$G$36,2,0)</f>
        <v xml:space="preserve">Deudores Comerciales Y Otras Cuentas Por Cobrar</v>
      </c>
      <c r="P39" s="1" t="str">
        <f t="shared" si="2"/>
        <v>1355</v>
      </c>
      <c r="Q39" s="1" t="str">
        <f>VLOOKUP(P39,PUC!$A$7:$B$869,2,0)</f>
        <v xml:space="preserve">Anticipo de impuestos y contribuciones o</v>
      </c>
      <c r="R39" s="6" t="s">
        <v>1422</v>
      </c>
      <c r="S39" s="6" t="str">
        <f>VLOOKUP(N39,List!$F:$H,3,0)</f>
        <v xml:space="preserve">Corto Termino</v>
      </c>
    </row>
    <row r="40">
      <c r="A40" s="1">
        <v>70</v>
      </c>
      <c r="B40" s="3" t="s">
        <v>144</v>
      </c>
      <c r="C40" s="3" t="s">
        <v>145</v>
      </c>
      <c r="D40" s="3" t="s">
        <v>80</v>
      </c>
      <c r="E40" s="3" t="s">
        <v>10</v>
      </c>
      <c r="F40" s="3" t="s">
        <v>125</v>
      </c>
      <c r="G40" s="3" t="s">
        <v>22</v>
      </c>
      <c r="H40" s="3" t="s">
        <v>23</v>
      </c>
      <c r="I40" s="3" t="s">
        <v>24</v>
      </c>
      <c r="J40" s="3" t="s">
        <v>25</v>
      </c>
      <c r="K40" s="1">
        <f t="shared" si="0"/>
        <v>1</v>
      </c>
      <c r="L40" s="1" t="str">
        <f>VLOOKUP(K40,List!$B$1:$D$10,2,0)</f>
        <v>Activo</v>
      </c>
      <c r="M40" s="1" t="str">
        <f>VLOOKUP(K40,List!$B$1:$D$10,3,0)</f>
        <v>Balance</v>
      </c>
      <c r="N40" s="1" t="str">
        <f t="shared" si="1"/>
        <v>13</v>
      </c>
      <c r="O40" s="1" t="str">
        <f>VLOOKUP(N40,List!$F$1:$G$36,2,0)</f>
        <v xml:space="preserve">Deudores Comerciales Y Otras Cuentas Por Cobrar</v>
      </c>
      <c r="P40" s="1" t="str">
        <f t="shared" si="2"/>
        <v>1355</v>
      </c>
      <c r="Q40" s="1" t="str">
        <f>VLOOKUP(P40,PUC!$A$7:$B$869,2,0)</f>
        <v xml:space="preserve">Anticipo de impuestos y contribuciones o</v>
      </c>
      <c r="R40" s="6" t="s">
        <v>1422</v>
      </c>
      <c r="S40" s="6" t="str">
        <f>VLOOKUP(N40,List!$F:$H,3,0)</f>
        <v xml:space="preserve">Corto Termino</v>
      </c>
    </row>
    <row r="41">
      <c r="A41" s="1">
        <v>71</v>
      </c>
      <c r="B41" s="3" t="s">
        <v>146</v>
      </c>
      <c r="C41" s="3" t="s">
        <v>147</v>
      </c>
      <c r="D41" s="3" t="s">
        <v>80</v>
      </c>
      <c r="E41" s="3" t="s">
        <v>10</v>
      </c>
      <c r="F41" s="3" t="s">
        <v>122</v>
      </c>
      <c r="G41" s="3" t="s">
        <v>22</v>
      </c>
      <c r="H41" s="3" t="s">
        <v>23</v>
      </c>
      <c r="I41" s="3" t="s">
        <v>24</v>
      </c>
      <c r="J41" s="3" t="s">
        <v>25</v>
      </c>
      <c r="K41" s="1">
        <f t="shared" si="0"/>
        <v>1</v>
      </c>
      <c r="L41" s="1" t="str">
        <f>VLOOKUP(K41,List!$B$1:$D$10,2,0)</f>
        <v>Activo</v>
      </c>
      <c r="M41" s="1" t="str">
        <f>VLOOKUP(K41,List!$B$1:$D$10,3,0)</f>
        <v>Balance</v>
      </c>
      <c r="N41" s="1" t="str">
        <f t="shared" si="1"/>
        <v>13</v>
      </c>
      <c r="O41" s="1" t="str">
        <f>VLOOKUP(N41,List!$F$1:$G$36,2,0)</f>
        <v xml:space="preserve">Deudores Comerciales Y Otras Cuentas Por Cobrar</v>
      </c>
      <c r="P41" s="1" t="str">
        <f t="shared" si="2"/>
        <v>1355</v>
      </c>
      <c r="Q41" s="1" t="str">
        <f>VLOOKUP(P41,PUC!$A$7:$B$869,2,0)</f>
        <v xml:space="preserve">Anticipo de impuestos y contribuciones o</v>
      </c>
      <c r="R41" s="6" t="s">
        <v>1422</v>
      </c>
      <c r="S41" s="6" t="str">
        <f>VLOOKUP(N41,List!$F:$H,3,0)</f>
        <v xml:space="preserve">Corto Termino</v>
      </c>
    </row>
    <row r="42">
      <c r="A42" s="1">
        <v>72</v>
      </c>
      <c r="B42" s="3" t="s">
        <v>148</v>
      </c>
      <c r="C42" s="3" t="s">
        <v>149</v>
      </c>
      <c r="D42" s="3" t="s">
        <v>80</v>
      </c>
      <c r="E42" s="3" t="s">
        <v>10</v>
      </c>
      <c r="F42" s="3" t="s">
        <v>125</v>
      </c>
      <c r="G42" s="3" t="s">
        <v>22</v>
      </c>
      <c r="H42" s="3" t="s">
        <v>23</v>
      </c>
      <c r="I42" s="3" t="s">
        <v>24</v>
      </c>
      <c r="J42" s="3" t="s">
        <v>25</v>
      </c>
      <c r="K42" s="1">
        <f t="shared" si="0"/>
        <v>1</v>
      </c>
      <c r="L42" s="1" t="str">
        <f>VLOOKUP(K42,List!$B$1:$D$10,2,0)</f>
        <v>Activo</v>
      </c>
      <c r="M42" s="1" t="str">
        <f>VLOOKUP(K42,List!$B$1:$D$10,3,0)</f>
        <v>Balance</v>
      </c>
      <c r="N42" s="1" t="str">
        <f t="shared" si="1"/>
        <v>13</v>
      </c>
      <c r="O42" s="1" t="str">
        <f>VLOOKUP(N42,List!$F$1:$G$36,2,0)</f>
        <v xml:space="preserve">Deudores Comerciales Y Otras Cuentas Por Cobrar</v>
      </c>
      <c r="P42" s="1" t="str">
        <f t="shared" si="2"/>
        <v>1355</v>
      </c>
      <c r="Q42" s="1" t="str">
        <f>VLOOKUP(P42,PUC!$A$7:$B$869,2,0)</f>
        <v xml:space="preserve">Anticipo de impuestos y contribuciones o</v>
      </c>
      <c r="R42" s="6" t="s">
        <v>1422</v>
      </c>
      <c r="S42" s="6" t="str">
        <f>VLOOKUP(N42,List!$F:$H,3,0)</f>
        <v xml:space="preserve">Corto Termino</v>
      </c>
    </row>
    <row r="43">
      <c r="A43" s="1">
        <v>73</v>
      </c>
      <c r="B43" s="3" t="s">
        <v>150</v>
      </c>
      <c r="C43" s="3" t="s">
        <v>151</v>
      </c>
      <c r="D43" s="3" t="s">
        <v>80</v>
      </c>
      <c r="E43" s="3" t="s">
        <v>10</v>
      </c>
      <c r="F43" s="3" t="s">
        <v>122</v>
      </c>
      <c r="G43" s="3" t="s">
        <v>22</v>
      </c>
      <c r="H43" s="3" t="s">
        <v>23</v>
      </c>
      <c r="I43" s="3" t="s">
        <v>24</v>
      </c>
      <c r="J43" s="3" t="s">
        <v>25</v>
      </c>
      <c r="K43" s="1">
        <f t="shared" si="0"/>
        <v>1</v>
      </c>
      <c r="L43" s="1" t="str">
        <f>VLOOKUP(K43,List!$B$1:$D$10,2,0)</f>
        <v>Activo</v>
      </c>
      <c r="M43" s="1" t="str">
        <f>VLOOKUP(K43,List!$B$1:$D$10,3,0)</f>
        <v>Balance</v>
      </c>
      <c r="N43" s="1" t="str">
        <f t="shared" si="1"/>
        <v>13</v>
      </c>
      <c r="O43" s="1" t="str">
        <f>VLOOKUP(N43,List!$F$1:$G$36,2,0)</f>
        <v xml:space="preserve">Deudores Comerciales Y Otras Cuentas Por Cobrar</v>
      </c>
      <c r="P43" s="1" t="str">
        <f t="shared" si="2"/>
        <v>1355</v>
      </c>
      <c r="Q43" s="1" t="str">
        <f>VLOOKUP(P43,PUC!$A$7:$B$869,2,0)</f>
        <v xml:space="preserve">Anticipo de impuestos y contribuciones o</v>
      </c>
      <c r="R43" s="6" t="s">
        <v>1422</v>
      </c>
      <c r="S43" s="6" t="str">
        <f>VLOOKUP(N43,List!$F:$H,3,0)</f>
        <v xml:space="preserve">Corto Termino</v>
      </c>
    </row>
    <row r="44">
      <c r="A44" s="1">
        <v>74</v>
      </c>
      <c r="B44" s="3" t="s">
        <v>152</v>
      </c>
      <c r="C44" s="3" t="s">
        <v>153</v>
      </c>
      <c r="D44" s="3" t="s">
        <v>80</v>
      </c>
      <c r="E44" s="3" t="s">
        <v>10</v>
      </c>
      <c r="F44" s="3" t="s">
        <v>125</v>
      </c>
      <c r="G44" s="3" t="s">
        <v>22</v>
      </c>
      <c r="H44" s="3" t="s">
        <v>23</v>
      </c>
      <c r="I44" s="3" t="s">
        <v>24</v>
      </c>
      <c r="J44" s="3" t="s">
        <v>25</v>
      </c>
      <c r="K44" s="1">
        <f t="shared" si="0"/>
        <v>1</v>
      </c>
      <c r="L44" s="1" t="str">
        <f>VLOOKUP(K44,List!$B$1:$D$10,2,0)</f>
        <v>Activo</v>
      </c>
      <c r="M44" s="1" t="str">
        <f>VLOOKUP(K44,List!$B$1:$D$10,3,0)</f>
        <v>Balance</v>
      </c>
      <c r="N44" s="1" t="str">
        <f t="shared" si="1"/>
        <v>13</v>
      </c>
      <c r="O44" s="1" t="str">
        <f>VLOOKUP(N44,List!$F$1:$G$36,2,0)</f>
        <v xml:space="preserve">Deudores Comerciales Y Otras Cuentas Por Cobrar</v>
      </c>
      <c r="P44" s="1" t="str">
        <f t="shared" si="2"/>
        <v>1355</v>
      </c>
      <c r="Q44" s="1" t="str">
        <f>VLOOKUP(P44,PUC!$A$7:$B$869,2,0)</f>
        <v xml:space="preserve">Anticipo de impuestos y contribuciones o</v>
      </c>
      <c r="R44" s="6" t="s">
        <v>1422</v>
      </c>
      <c r="S44" s="6" t="str">
        <f>VLOOKUP(N44,List!$F:$H,3,0)</f>
        <v xml:space="preserve">Corto Termino</v>
      </c>
    </row>
    <row r="45">
      <c r="A45" s="1">
        <v>75</v>
      </c>
      <c r="B45" s="3" t="s">
        <v>154</v>
      </c>
      <c r="C45" s="3" t="s">
        <v>155</v>
      </c>
      <c r="D45" s="3" t="s">
        <v>80</v>
      </c>
      <c r="E45" s="3" t="s">
        <v>10</v>
      </c>
      <c r="F45" s="3" t="s">
        <v>122</v>
      </c>
      <c r="G45" s="3" t="s">
        <v>22</v>
      </c>
      <c r="H45" s="3" t="s">
        <v>23</v>
      </c>
      <c r="I45" s="3" t="s">
        <v>24</v>
      </c>
      <c r="J45" s="3" t="s">
        <v>25</v>
      </c>
      <c r="K45" s="1">
        <f t="shared" si="0"/>
        <v>1</v>
      </c>
      <c r="L45" s="1" t="str">
        <f>VLOOKUP(K45,List!$B$1:$D$10,2,0)</f>
        <v>Activo</v>
      </c>
      <c r="M45" s="1" t="str">
        <f>VLOOKUP(K45,List!$B$1:$D$10,3,0)</f>
        <v>Balance</v>
      </c>
      <c r="N45" s="1" t="str">
        <f t="shared" si="1"/>
        <v>13</v>
      </c>
      <c r="O45" s="1" t="str">
        <f>VLOOKUP(N45,List!$F$1:$G$36,2,0)</f>
        <v xml:space="preserve">Deudores Comerciales Y Otras Cuentas Por Cobrar</v>
      </c>
      <c r="P45" s="1" t="str">
        <f t="shared" si="2"/>
        <v>1355</v>
      </c>
      <c r="Q45" s="1" t="str">
        <f>VLOOKUP(P45,PUC!$A$7:$B$869,2,0)</f>
        <v xml:space="preserve">Anticipo de impuestos y contribuciones o</v>
      </c>
      <c r="R45" s="6" t="s">
        <v>1422</v>
      </c>
      <c r="S45" s="6" t="str">
        <f>VLOOKUP(N45,List!$F:$H,3,0)</f>
        <v xml:space="preserve">Corto Termino</v>
      </c>
    </row>
    <row r="46">
      <c r="A46" s="1">
        <v>76</v>
      </c>
      <c r="B46" s="3" t="s">
        <v>156</v>
      </c>
      <c r="C46" s="3" t="s">
        <v>157</v>
      </c>
      <c r="D46" s="3" t="s">
        <v>80</v>
      </c>
      <c r="E46" s="3" t="s">
        <v>10</v>
      </c>
      <c r="F46" s="3" t="s">
        <v>125</v>
      </c>
      <c r="G46" s="3" t="s">
        <v>22</v>
      </c>
      <c r="H46" s="3" t="s">
        <v>23</v>
      </c>
      <c r="I46" s="3" t="s">
        <v>24</v>
      </c>
      <c r="J46" s="3" t="s">
        <v>25</v>
      </c>
      <c r="K46" s="1">
        <f t="shared" si="0"/>
        <v>1</v>
      </c>
      <c r="L46" s="1" t="str">
        <f>VLOOKUP(K46,List!$B$1:$D$10,2,0)</f>
        <v>Activo</v>
      </c>
      <c r="M46" s="1" t="str">
        <f>VLOOKUP(K46,List!$B$1:$D$10,3,0)</f>
        <v>Balance</v>
      </c>
      <c r="N46" s="1" t="str">
        <f t="shared" si="1"/>
        <v>13</v>
      </c>
      <c r="O46" s="1" t="str">
        <f>VLOOKUP(N46,List!$F$1:$G$36,2,0)</f>
        <v xml:space="preserve">Deudores Comerciales Y Otras Cuentas Por Cobrar</v>
      </c>
      <c r="P46" s="1" t="str">
        <f t="shared" si="2"/>
        <v>1355</v>
      </c>
      <c r="Q46" s="1" t="str">
        <f>VLOOKUP(P46,PUC!$A$7:$B$869,2,0)</f>
        <v xml:space="preserve">Anticipo de impuestos y contribuciones o</v>
      </c>
      <c r="R46" s="6" t="s">
        <v>1422</v>
      </c>
      <c r="S46" s="6" t="str">
        <f>VLOOKUP(N46,List!$F:$H,3,0)</f>
        <v xml:space="preserve">Corto Termino</v>
      </c>
    </row>
    <row r="47">
      <c r="A47" s="1">
        <v>78</v>
      </c>
      <c r="B47" s="3" t="s">
        <v>160</v>
      </c>
      <c r="C47" s="3" t="s">
        <v>161</v>
      </c>
      <c r="D47" s="3" t="s">
        <v>80</v>
      </c>
      <c r="E47" s="3" t="s">
        <v>10</v>
      </c>
      <c r="F47" s="3" t="s">
        <v>122</v>
      </c>
      <c r="G47" s="3" t="s">
        <v>22</v>
      </c>
      <c r="H47" s="3" t="s">
        <v>23</v>
      </c>
      <c r="I47" s="3" t="s">
        <v>24</v>
      </c>
      <c r="J47" s="3" t="s">
        <v>25</v>
      </c>
      <c r="K47" s="1">
        <f t="shared" si="0"/>
        <v>1</v>
      </c>
      <c r="L47" s="1" t="str">
        <f>VLOOKUP(K47,List!$B$1:$D$10,2,0)</f>
        <v>Activo</v>
      </c>
      <c r="M47" s="1" t="str">
        <f>VLOOKUP(K47,List!$B$1:$D$10,3,0)</f>
        <v>Balance</v>
      </c>
      <c r="N47" s="1" t="str">
        <f t="shared" si="1"/>
        <v>13</v>
      </c>
      <c r="O47" s="1" t="str">
        <f>VLOOKUP(N47,List!$F$1:$G$36,2,0)</f>
        <v xml:space="preserve">Deudores Comerciales Y Otras Cuentas Por Cobrar</v>
      </c>
      <c r="P47" s="1" t="str">
        <f t="shared" si="2"/>
        <v>1355</v>
      </c>
      <c r="Q47" s="1" t="str">
        <f>VLOOKUP(P47,PUC!$A$7:$B$869,2,0)</f>
        <v xml:space="preserve">Anticipo de impuestos y contribuciones o</v>
      </c>
      <c r="R47" s="6" t="s">
        <v>1422</v>
      </c>
      <c r="S47" s="6" t="str">
        <f>VLOOKUP(N47,List!$F:$H,3,0)</f>
        <v xml:space="preserve">Corto Termino</v>
      </c>
    </row>
    <row r="48">
      <c r="A48" s="1">
        <v>79</v>
      </c>
      <c r="B48" s="3" t="s">
        <v>162</v>
      </c>
      <c r="C48" s="3" t="s">
        <v>163</v>
      </c>
      <c r="D48" s="3" t="s">
        <v>80</v>
      </c>
      <c r="E48" s="3" t="s">
        <v>10</v>
      </c>
      <c r="F48" s="3" t="s">
        <v>125</v>
      </c>
      <c r="G48" s="3" t="s">
        <v>22</v>
      </c>
      <c r="H48" s="3" t="s">
        <v>23</v>
      </c>
      <c r="I48" s="3" t="s">
        <v>24</v>
      </c>
      <c r="J48" s="3" t="s">
        <v>25</v>
      </c>
      <c r="K48" s="1">
        <f t="shared" si="0"/>
        <v>1</v>
      </c>
      <c r="L48" s="1" t="str">
        <f>VLOOKUP(K48,List!$B$1:$D$10,2,0)</f>
        <v>Activo</v>
      </c>
      <c r="M48" s="1" t="str">
        <f>VLOOKUP(K48,List!$B$1:$D$10,3,0)</f>
        <v>Balance</v>
      </c>
      <c r="N48" s="1" t="str">
        <f t="shared" si="1"/>
        <v>13</v>
      </c>
      <c r="O48" s="1" t="str">
        <f>VLOOKUP(N48,List!$F$1:$G$36,2,0)</f>
        <v xml:space="preserve">Deudores Comerciales Y Otras Cuentas Por Cobrar</v>
      </c>
      <c r="P48" s="1" t="str">
        <f t="shared" si="2"/>
        <v>1355</v>
      </c>
      <c r="Q48" s="1" t="str">
        <f>VLOOKUP(P48,PUC!$A$7:$B$869,2,0)</f>
        <v xml:space="preserve">Anticipo de impuestos y contribuciones o</v>
      </c>
      <c r="R48" s="6" t="s">
        <v>1422</v>
      </c>
      <c r="S48" s="6" t="str">
        <f>VLOOKUP(N48,List!$F:$H,3,0)</f>
        <v xml:space="preserve">Corto Termino</v>
      </c>
    </row>
    <row r="49">
      <c r="A49" s="1">
        <v>81</v>
      </c>
      <c r="B49" s="3" t="s">
        <v>166</v>
      </c>
      <c r="C49" s="3" t="s">
        <v>167</v>
      </c>
      <c r="D49" s="3" t="s">
        <v>80</v>
      </c>
      <c r="E49" s="3" t="s">
        <v>10</v>
      </c>
      <c r="F49" s="3" t="s">
        <v>122</v>
      </c>
      <c r="G49" s="3" t="s">
        <v>22</v>
      </c>
      <c r="H49" s="3" t="s">
        <v>23</v>
      </c>
      <c r="I49" s="3" t="s">
        <v>24</v>
      </c>
      <c r="J49" s="3" t="s">
        <v>25</v>
      </c>
      <c r="K49" s="1">
        <f t="shared" si="0"/>
        <v>1</v>
      </c>
      <c r="L49" s="1" t="str">
        <f>VLOOKUP(K49,List!$B$1:$D$10,2,0)</f>
        <v>Activo</v>
      </c>
      <c r="M49" s="1" t="str">
        <f>VLOOKUP(K49,List!$B$1:$D$10,3,0)</f>
        <v>Balance</v>
      </c>
      <c r="N49" s="1" t="str">
        <f t="shared" si="1"/>
        <v>13</v>
      </c>
      <c r="O49" s="1" t="str">
        <f>VLOOKUP(N49,List!$F$1:$G$36,2,0)</f>
        <v xml:space="preserve">Deudores Comerciales Y Otras Cuentas Por Cobrar</v>
      </c>
      <c r="P49" s="1" t="str">
        <f t="shared" si="2"/>
        <v>1355</v>
      </c>
      <c r="Q49" s="1" t="str">
        <f>VLOOKUP(P49,PUC!$A$7:$B$869,2,0)</f>
        <v xml:space="preserve">Anticipo de impuestos y contribuciones o</v>
      </c>
      <c r="R49" s="6" t="s">
        <v>1422</v>
      </c>
      <c r="S49" s="6" t="str">
        <f>VLOOKUP(N49,List!$F:$H,3,0)</f>
        <v xml:space="preserve">Corto Termino</v>
      </c>
    </row>
    <row r="50">
      <c r="A50" s="1">
        <v>82</v>
      </c>
      <c r="B50" s="3" t="s">
        <v>168</v>
      </c>
      <c r="C50" s="3" t="s">
        <v>169</v>
      </c>
      <c r="D50" s="3" t="s">
        <v>80</v>
      </c>
      <c r="E50" s="3" t="s">
        <v>10</v>
      </c>
      <c r="F50" s="3" t="s">
        <v>125</v>
      </c>
      <c r="G50" s="3" t="s">
        <v>22</v>
      </c>
      <c r="H50" s="3" t="s">
        <v>23</v>
      </c>
      <c r="I50" s="3" t="s">
        <v>24</v>
      </c>
      <c r="J50" s="3" t="s">
        <v>25</v>
      </c>
      <c r="K50" s="1">
        <f t="shared" si="0"/>
        <v>1</v>
      </c>
      <c r="L50" s="1" t="str">
        <f>VLOOKUP(K50,List!$B$1:$D$10,2,0)</f>
        <v>Activo</v>
      </c>
      <c r="M50" s="1" t="str">
        <f>VLOOKUP(K50,List!$B$1:$D$10,3,0)</f>
        <v>Balance</v>
      </c>
      <c r="N50" s="1" t="str">
        <f t="shared" si="1"/>
        <v>13</v>
      </c>
      <c r="O50" s="1" t="str">
        <f>VLOOKUP(N50,List!$F$1:$G$36,2,0)</f>
        <v xml:space="preserve">Deudores Comerciales Y Otras Cuentas Por Cobrar</v>
      </c>
      <c r="P50" s="1" t="str">
        <f t="shared" si="2"/>
        <v>1355</v>
      </c>
      <c r="Q50" s="1" t="str">
        <f>VLOOKUP(P50,PUC!$A$7:$B$869,2,0)</f>
        <v xml:space="preserve">Anticipo de impuestos y contribuciones o</v>
      </c>
      <c r="R50" s="6" t="s">
        <v>1422</v>
      </c>
      <c r="S50" s="6" t="str">
        <f>VLOOKUP(N50,List!$F:$H,3,0)</f>
        <v xml:space="preserve">Corto Termino</v>
      </c>
    </row>
    <row r="51">
      <c r="A51" s="1">
        <v>83</v>
      </c>
      <c r="B51" s="3" t="s">
        <v>170</v>
      </c>
      <c r="C51" s="3" t="s">
        <v>171</v>
      </c>
      <c r="D51" s="3" t="s">
        <v>80</v>
      </c>
      <c r="E51" s="3" t="s">
        <v>10</v>
      </c>
      <c r="F51" s="3" t="s">
        <v>122</v>
      </c>
      <c r="G51" s="3" t="s">
        <v>22</v>
      </c>
      <c r="H51" s="3" t="s">
        <v>23</v>
      </c>
      <c r="I51" s="3" t="s">
        <v>24</v>
      </c>
      <c r="J51" s="3" t="s">
        <v>25</v>
      </c>
      <c r="K51" s="1">
        <f t="shared" si="0"/>
        <v>1</v>
      </c>
      <c r="L51" s="1" t="str">
        <f>VLOOKUP(K51,List!$B$1:$D$10,2,0)</f>
        <v>Activo</v>
      </c>
      <c r="M51" s="1" t="str">
        <f>VLOOKUP(K51,List!$B$1:$D$10,3,0)</f>
        <v>Balance</v>
      </c>
      <c r="N51" s="1" t="str">
        <f t="shared" si="1"/>
        <v>13</v>
      </c>
      <c r="O51" s="1" t="str">
        <f>VLOOKUP(N51,List!$F$1:$G$36,2,0)</f>
        <v xml:space="preserve">Deudores Comerciales Y Otras Cuentas Por Cobrar</v>
      </c>
      <c r="P51" s="1" t="str">
        <f t="shared" si="2"/>
        <v>1355</v>
      </c>
      <c r="Q51" s="1" t="str">
        <f>VLOOKUP(P51,PUC!$A$7:$B$869,2,0)</f>
        <v xml:space="preserve">Anticipo de impuestos y contribuciones o</v>
      </c>
      <c r="R51" s="6" t="s">
        <v>1422</v>
      </c>
      <c r="S51" s="6" t="str">
        <f>VLOOKUP(N51,List!$F:$H,3,0)</f>
        <v xml:space="preserve">Corto Termino</v>
      </c>
    </row>
    <row r="52">
      <c r="A52" s="1">
        <v>84</v>
      </c>
      <c r="B52" s="3" t="s">
        <v>172</v>
      </c>
      <c r="C52" s="3" t="s">
        <v>173</v>
      </c>
      <c r="D52" s="3" t="s">
        <v>80</v>
      </c>
      <c r="E52" s="3" t="s">
        <v>10</v>
      </c>
      <c r="F52" s="3" t="s">
        <v>125</v>
      </c>
      <c r="G52" s="3" t="s">
        <v>22</v>
      </c>
      <c r="H52" s="3" t="s">
        <v>23</v>
      </c>
      <c r="I52" s="3" t="s">
        <v>24</v>
      </c>
      <c r="J52" s="3" t="s">
        <v>25</v>
      </c>
      <c r="K52" s="1">
        <f t="shared" si="0"/>
        <v>1</v>
      </c>
      <c r="L52" s="1" t="str">
        <f>VLOOKUP(K52,List!$B$1:$D$10,2,0)</f>
        <v>Activo</v>
      </c>
      <c r="M52" s="1" t="str">
        <f>VLOOKUP(K52,List!$B$1:$D$10,3,0)</f>
        <v>Balance</v>
      </c>
      <c r="N52" s="1" t="str">
        <f t="shared" si="1"/>
        <v>13</v>
      </c>
      <c r="O52" s="1" t="str">
        <f>VLOOKUP(N52,List!$F$1:$G$36,2,0)</f>
        <v xml:space="preserve">Deudores Comerciales Y Otras Cuentas Por Cobrar</v>
      </c>
      <c r="P52" s="1" t="str">
        <f t="shared" si="2"/>
        <v>1355</v>
      </c>
      <c r="Q52" s="1" t="str">
        <f>VLOOKUP(P52,PUC!$A$7:$B$869,2,0)</f>
        <v xml:space="preserve">Anticipo de impuestos y contribuciones o</v>
      </c>
      <c r="R52" s="6" t="s">
        <v>1422</v>
      </c>
      <c r="S52" s="6" t="str">
        <f>VLOOKUP(N52,List!$F:$H,3,0)</f>
        <v xml:space="preserve">Corto Termino</v>
      </c>
    </row>
    <row r="53">
      <c r="A53" s="1">
        <v>85</v>
      </c>
      <c r="B53" s="3" t="s">
        <v>174</v>
      </c>
      <c r="C53" s="3" t="s">
        <v>175</v>
      </c>
      <c r="D53" s="3" t="s">
        <v>80</v>
      </c>
      <c r="E53" s="3" t="s">
        <v>10</v>
      </c>
      <c r="F53" s="3" t="s">
        <v>122</v>
      </c>
      <c r="G53" s="3" t="s">
        <v>22</v>
      </c>
      <c r="H53" s="3" t="s">
        <v>23</v>
      </c>
      <c r="I53" s="3" t="s">
        <v>24</v>
      </c>
      <c r="J53" s="3" t="s">
        <v>25</v>
      </c>
      <c r="K53" s="1">
        <f t="shared" si="0"/>
        <v>1</v>
      </c>
      <c r="L53" s="1" t="str">
        <f>VLOOKUP(K53,List!$B$1:$D$10,2,0)</f>
        <v>Activo</v>
      </c>
      <c r="M53" s="1" t="str">
        <f>VLOOKUP(K53,List!$B$1:$D$10,3,0)</f>
        <v>Balance</v>
      </c>
      <c r="N53" s="1" t="str">
        <f t="shared" si="1"/>
        <v>13</v>
      </c>
      <c r="O53" s="1" t="str">
        <f>VLOOKUP(N53,List!$F$1:$G$36,2,0)</f>
        <v xml:space="preserve">Deudores Comerciales Y Otras Cuentas Por Cobrar</v>
      </c>
      <c r="P53" s="1" t="str">
        <f t="shared" si="2"/>
        <v>1355</v>
      </c>
      <c r="Q53" s="1" t="str">
        <f>VLOOKUP(P53,PUC!$A$7:$B$869,2,0)</f>
        <v xml:space="preserve">Anticipo de impuestos y contribuciones o</v>
      </c>
      <c r="R53" s="6" t="s">
        <v>1422</v>
      </c>
      <c r="S53" s="6" t="str">
        <f>VLOOKUP(N53,List!$F:$H,3,0)</f>
        <v xml:space="preserve">Corto Termino</v>
      </c>
    </row>
    <row r="54">
      <c r="A54" s="1">
        <v>86</v>
      </c>
      <c r="B54" s="3" t="s">
        <v>176</v>
      </c>
      <c r="C54" s="3" t="s">
        <v>177</v>
      </c>
      <c r="D54" s="3" t="s">
        <v>80</v>
      </c>
      <c r="E54" s="3" t="s">
        <v>10</v>
      </c>
      <c r="F54" s="3" t="s">
        <v>125</v>
      </c>
      <c r="G54" s="3" t="s">
        <v>22</v>
      </c>
      <c r="H54" s="3" t="s">
        <v>23</v>
      </c>
      <c r="I54" s="3" t="s">
        <v>24</v>
      </c>
      <c r="J54" s="3" t="s">
        <v>25</v>
      </c>
      <c r="K54" s="1">
        <f t="shared" si="0"/>
        <v>1</v>
      </c>
      <c r="L54" s="1" t="str">
        <f>VLOOKUP(K54,List!$B$1:$D$10,2,0)</f>
        <v>Activo</v>
      </c>
      <c r="M54" s="1" t="str">
        <f>VLOOKUP(K54,List!$B$1:$D$10,3,0)</f>
        <v>Balance</v>
      </c>
      <c r="N54" s="1" t="str">
        <f t="shared" si="1"/>
        <v>13</v>
      </c>
      <c r="O54" s="1" t="str">
        <f>VLOOKUP(N54,List!$F$1:$G$36,2,0)</f>
        <v xml:space="preserve">Deudores Comerciales Y Otras Cuentas Por Cobrar</v>
      </c>
      <c r="P54" s="1" t="str">
        <f t="shared" si="2"/>
        <v>1355</v>
      </c>
      <c r="Q54" s="1" t="str">
        <f>VLOOKUP(P54,PUC!$A$7:$B$869,2,0)</f>
        <v xml:space="preserve">Anticipo de impuestos y contribuciones o</v>
      </c>
      <c r="R54" s="6" t="s">
        <v>1422</v>
      </c>
      <c r="S54" s="6" t="str">
        <f>VLOOKUP(N54,List!$F:$H,3,0)</f>
        <v xml:space="preserve">Corto Termino</v>
      </c>
    </row>
    <row r="55">
      <c r="A55" s="1">
        <v>87</v>
      </c>
      <c r="B55" s="3" t="s">
        <v>178</v>
      </c>
      <c r="C55" s="3" t="s">
        <v>179</v>
      </c>
      <c r="D55" s="3" t="s">
        <v>80</v>
      </c>
      <c r="E55" s="3" t="s">
        <v>10</v>
      </c>
      <c r="F55" s="3" t="s">
        <v>122</v>
      </c>
      <c r="G55" s="3" t="s">
        <v>22</v>
      </c>
      <c r="H55" s="3" t="s">
        <v>23</v>
      </c>
      <c r="I55" s="3" t="s">
        <v>24</v>
      </c>
      <c r="J55" s="3" t="s">
        <v>25</v>
      </c>
      <c r="K55" s="1">
        <f t="shared" si="0"/>
        <v>1</v>
      </c>
      <c r="L55" s="1" t="str">
        <f>VLOOKUP(K55,List!$B$1:$D$10,2,0)</f>
        <v>Activo</v>
      </c>
      <c r="M55" s="1" t="str">
        <f>VLOOKUP(K55,List!$B$1:$D$10,3,0)</f>
        <v>Balance</v>
      </c>
      <c r="N55" s="1" t="str">
        <f t="shared" si="1"/>
        <v>13</v>
      </c>
      <c r="O55" s="1" t="str">
        <f>VLOOKUP(N55,List!$F$1:$G$36,2,0)</f>
        <v xml:space="preserve">Deudores Comerciales Y Otras Cuentas Por Cobrar</v>
      </c>
      <c r="P55" s="1" t="str">
        <f t="shared" si="2"/>
        <v>1355</v>
      </c>
      <c r="Q55" s="1" t="str">
        <f>VLOOKUP(P55,PUC!$A$7:$B$869,2,0)</f>
        <v xml:space="preserve">Anticipo de impuestos y contribuciones o</v>
      </c>
      <c r="R55" s="6" t="s">
        <v>1422</v>
      </c>
      <c r="S55" s="6" t="str">
        <f>VLOOKUP(N55,List!$F:$H,3,0)</f>
        <v xml:space="preserve">Corto Termino</v>
      </c>
    </row>
    <row r="56">
      <c r="A56" s="1">
        <v>88</v>
      </c>
      <c r="B56" s="3" t="s">
        <v>180</v>
      </c>
      <c r="C56" s="3" t="s">
        <v>181</v>
      </c>
      <c r="D56" s="3" t="s">
        <v>80</v>
      </c>
      <c r="E56" s="3" t="s">
        <v>10</v>
      </c>
      <c r="F56" s="3" t="s">
        <v>125</v>
      </c>
      <c r="G56" s="3" t="s">
        <v>22</v>
      </c>
      <c r="H56" s="3" t="s">
        <v>23</v>
      </c>
      <c r="I56" s="3" t="s">
        <v>24</v>
      </c>
      <c r="J56" s="3" t="s">
        <v>25</v>
      </c>
      <c r="K56" s="1">
        <f t="shared" si="0"/>
        <v>1</v>
      </c>
      <c r="L56" s="1" t="str">
        <f>VLOOKUP(K56,List!$B$1:$D$10,2,0)</f>
        <v>Activo</v>
      </c>
      <c r="M56" s="1" t="str">
        <f>VLOOKUP(K56,List!$B$1:$D$10,3,0)</f>
        <v>Balance</v>
      </c>
      <c r="N56" s="1" t="str">
        <f t="shared" si="1"/>
        <v>13</v>
      </c>
      <c r="O56" s="1" t="str">
        <f>VLOOKUP(N56,List!$F$1:$G$36,2,0)</f>
        <v xml:space="preserve">Deudores Comerciales Y Otras Cuentas Por Cobrar</v>
      </c>
      <c r="P56" s="1" t="str">
        <f t="shared" si="2"/>
        <v>1355</v>
      </c>
      <c r="Q56" s="1" t="str">
        <f>VLOOKUP(P56,PUC!$A$7:$B$869,2,0)</f>
        <v xml:space="preserve">Anticipo de impuestos y contribuciones o</v>
      </c>
      <c r="R56" s="6" t="s">
        <v>1422</v>
      </c>
      <c r="S56" s="6" t="str">
        <f>VLOOKUP(N56,List!$F:$H,3,0)</f>
        <v xml:space="preserve">Corto Termino</v>
      </c>
    </row>
    <row r="57">
      <c r="A57" s="1">
        <v>89</v>
      </c>
      <c r="B57" s="3" t="s">
        <v>182</v>
      </c>
      <c r="C57" s="3" t="s">
        <v>183</v>
      </c>
      <c r="D57" s="3" t="s">
        <v>80</v>
      </c>
      <c r="E57" s="3" t="s">
        <v>10</v>
      </c>
      <c r="F57" s="3" t="s">
        <v>122</v>
      </c>
      <c r="G57" s="3" t="s">
        <v>22</v>
      </c>
      <c r="H57" s="3" t="s">
        <v>23</v>
      </c>
      <c r="I57" s="3" t="s">
        <v>24</v>
      </c>
      <c r="J57" s="3" t="s">
        <v>25</v>
      </c>
      <c r="K57" s="1">
        <f t="shared" si="0"/>
        <v>1</v>
      </c>
      <c r="L57" s="1" t="str">
        <f>VLOOKUP(K57,List!$B$1:$D$10,2,0)</f>
        <v>Activo</v>
      </c>
      <c r="M57" s="1" t="str">
        <f>VLOOKUP(K57,List!$B$1:$D$10,3,0)</f>
        <v>Balance</v>
      </c>
      <c r="N57" s="1" t="str">
        <f t="shared" si="1"/>
        <v>13</v>
      </c>
      <c r="O57" s="1" t="str">
        <f>VLOOKUP(N57,List!$F$1:$G$36,2,0)</f>
        <v xml:space="preserve">Deudores Comerciales Y Otras Cuentas Por Cobrar</v>
      </c>
      <c r="P57" s="1" t="str">
        <f t="shared" si="2"/>
        <v>1355</v>
      </c>
      <c r="Q57" s="1" t="str">
        <f>VLOOKUP(P57,PUC!$A$7:$B$869,2,0)</f>
        <v xml:space="preserve">Anticipo de impuestos y contribuciones o</v>
      </c>
      <c r="R57" s="6" t="s">
        <v>1422</v>
      </c>
      <c r="S57" s="6" t="str">
        <f>VLOOKUP(N57,List!$F:$H,3,0)</f>
        <v xml:space="preserve">Corto Termino</v>
      </c>
    </row>
    <row r="58">
      <c r="A58" s="1">
        <v>90</v>
      </c>
      <c r="B58" s="3" t="s">
        <v>184</v>
      </c>
      <c r="C58" s="3" t="s">
        <v>185</v>
      </c>
      <c r="D58" s="3" t="s">
        <v>80</v>
      </c>
      <c r="E58" s="3" t="s">
        <v>10</v>
      </c>
      <c r="F58" s="3" t="s">
        <v>125</v>
      </c>
      <c r="G58" s="3" t="s">
        <v>22</v>
      </c>
      <c r="H58" s="3" t="s">
        <v>23</v>
      </c>
      <c r="I58" s="3" t="s">
        <v>24</v>
      </c>
      <c r="J58" s="3" t="s">
        <v>25</v>
      </c>
      <c r="K58" s="1">
        <f t="shared" si="0"/>
        <v>1</v>
      </c>
      <c r="L58" s="1" t="str">
        <f>VLOOKUP(K58,List!$B$1:$D$10,2,0)</f>
        <v>Activo</v>
      </c>
      <c r="M58" s="1" t="str">
        <f>VLOOKUP(K58,List!$B$1:$D$10,3,0)</f>
        <v>Balance</v>
      </c>
      <c r="N58" s="1" t="str">
        <f t="shared" si="1"/>
        <v>13</v>
      </c>
      <c r="O58" s="1" t="str">
        <f>VLOOKUP(N58,List!$F$1:$G$36,2,0)</f>
        <v xml:space="preserve">Deudores Comerciales Y Otras Cuentas Por Cobrar</v>
      </c>
      <c r="P58" s="1" t="str">
        <f t="shared" si="2"/>
        <v>1355</v>
      </c>
      <c r="Q58" s="1" t="str">
        <f>VLOOKUP(P58,PUC!$A$7:$B$869,2,0)</f>
        <v xml:space="preserve">Anticipo de impuestos y contribuciones o</v>
      </c>
      <c r="R58" s="6" t="s">
        <v>1422</v>
      </c>
      <c r="S58" s="6" t="str">
        <f>VLOOKUP(N58,List!$F:$H,3,0)</f>
        <v xml:space="preserve">Corto Termino</v>
      </c>
    </row>
    <row r="59">
      <c r="A59" s="1">
        <v>91</v>
      </c>
      <c r="B59" s="3" t="s">
        <v>186</v>
      </c>
      <c r="C59" s="3" t="s">
        <v>187</v>
      </c>
      <c r="D59" s="3" t="s">
        <v>80</v>
      </c>
      <c r="E59" s="3" t="s">
        <v>10</v>
      </c>
      <c r="F59" s="3" t="s">
        <v>122</v>
      </c>
      <c r="G59" s="3" t="s">
        <v>22</v>
      </c>
      <c r="H59" s="3" t="s">
        <v>23</v>
      </c>
      <c r="I59" s="3" t="s">
        <v>24</v>
      </c>
      <c r="J59" s="3" t="s">
        <v>25</v>
      </c>
      <c r="K59" s="1">
        <f t="shared" si="0"/>
        <v>1</v>
      </c>
      <c r="L59" s="1" t="str">
        <f>VLOOKUP(K59,List!$B$1:$D$10,2,0)</f>
        <v>Activo</v>
      </c>
      <c r="M59" s="1" t="str">
        <f>VLOOKUP(K59,List!$B$1:$D$10,3,0)</f>
        <v>Balance</v>
      </c>
      <c r="N59" s="1" t="str">
        <f t="shared" si="1"/>
        <v>13</v>
      </c>
      <c r="O59" s="1" t="str">
        <f>VLOOKUP(N59,List!$F$1:$G$36,2,0)</f>
        <v xml:space="preserve">Deudores Comerciales Y Otras Cuentas Por Cobrar</v>
      </c>
      <c r="P59" s="1" t="str">
        <f t="shared" si="2"/>
        <v>1355</v>
      </c>
      <c r="Q59" s="1" t="str">
        <f>VLOOKUP(P59,PUC!$A$7:$B$869,2,0)</f>
        <v xml:space="preserve">Anticipo de impuestos y contribuciones o</v>
      </c>
      <c r="R59" s="6" t="s">
        <v>1422</v>
      </c>
      <c r="S59" s="6" t="str">
        <f>VLOOKUP(N59,List!$F:$H,3,0)</f>
        <v xml:space="preserve">Corto Termino</v>
      </c>
    </row>
    <row r="60">
      <c r="A60" s="1">
        <v>92</v>
      </c>
      <c r="B60" s="3" t="s">
        <v>188</v>
      </c>
      <c r="C60" s="3" t="s">
        <v>189</v>
      </c>
      <c r="D60" s="3" t="s">
        <v>80</v>
      </c>
      <c r="E60" s="3" t="s">
        <v>10</v>
      </c>
      <c r="F60" s="3" t="s">
        <v>125</v>
      </c>
      <c r="G60" s="3" t="s">
        <v>22</v>
      </c>
      <c r="H60" s="3" t="s">
        <v>23</v>
      </c>
      <c r="I60" s="3" t="s">
        <v>24</v>
      </c>
      <c r="J60" s="3" t="s">
        <v>25</v>
      </c>
      <c r="K60" s="1">
        <f t="shared" si="0"/>
        <v>1</v>
      </c>
      <c r="L60" s="1" t="str">
        <f>VLOOKUP(K60,List!$B$1:$D$10,2,0)</f>
        <v>Activo</v>
      </c>
      <c r="M60" s="1" t="str">
        <f>VLOOKUP(K60,List!$B$1:$D$10,3,0)</f>
        <v>Balance</v>
      </c>
      <c r="N60" s="1" t="str">
        <f t="shared" si="1"/>
        <v>13</v>
      </c>
      <c r="O60" s="1" t="str">
        <f>VLOOKUP(N60,List!$F$1:$G$36,2,0)</f>
        <v xml:space="preserve">Deudores Comerciales Y Otras Cuentas Por Cobrar</v>
      </c>
      <c r="P60" s="1" t="str">
        <f t="shared" si="2"/>
        <v>1355</v>
      </c>
      <c r="Q60" s="1" t="str">
        <f>VLOOKUP(P60,PUC!$A$7:$B$869,2,0)</f>
        <v xml:space="preserve">Anticipo de impuestos y contribuciones o</v>
      </c>
      <c r="R60" s="6" t="s">
        <v>1422</v>
      </c>
      <c r="S60" s="6" t="str">
        <f>VLOOKUP(N60,List!$F:$H,3,0)</f>
        <v xml:space="preserve">Corto Termino</v>
      </c>
    </row>
    <row r="61">
      <c r="A61" s="1">
        <v>93</v>
      </c>
      <c r="B61" s="3" t="s">
        <v>190</v>
      </c>
      <c r="C61" s="3" t="s">
        <v>191</v>
      </c>
      <c r="D61" s="3" t="s">
        <v>80</v>
      </c>
      <c r="E61" s="3" t="s">
        <v>10</v>
      </c>
      <c r="F61" s="3" t="s">
        <v>122</v>
      </c>
      <c r="G61" s="3" t="s">
        <v>22</v>
      </c>
      <c r="H61" s="3" t="s">
        <v>23</v>
      </c>
      <c r="I61" s="3" t="s">
        <v>24</v>
      </c>
      <c r="J61" s="3" t="s">
        <v>25</v>
      </c>
      <c r="K61" s="1">
        <f t="shared" si="0"/>
        <v>1</v>
      </c>
      <c r="L61" s="1" t="str">
        <f>VLOOKUP(K61,List!$B$1:$D$10,2,0)</f>
        <v>Activo</v>
      </c>
      <c r="M61" s="1" t="str">
        <f>VLOOKUP(K61,List!$B$1:$D$10,3,0)</f>
        <v>Balance</v>
      </c>
      <c r="N61" s="1" t="str">
        <f t="shared" si="1"/>
        <v>13</v>
      </c>
      <c r="O61" s="1" t="str">
        <f>VLOOKUP(N61,List!$F$1:$G$36,2,0)</f>
        <v xml:space="preserve">Deudores Comerciales Y Otras Cuentas Por Cobrar</v>
      </c>
      <c r="P61" s="1" t="str">
        <f t="shared" si="2"/>
        <v>1355</v>
      </c>
      <c r="Q61" s="1" t="str">
        <f>VLOOKUP(P61,PUC!$A$7:$B$869,2,0)</f>
        <v xml:space="preserve">Anticipo de impuestos y contribuciones o</v>
      </c>
      <c r="R61" s="6" t="s">
        <v>1422</v>
      </c>
      <c r="S61" s="6" t="str">
        <f>VLOOKUP(N61,List!$F:$H,3,0)</f>
        <v xml:space="preserve">Corto Termino</v>
      </c>
    </row>
    <row r="62">
      <c r="A62" s="1">
        <v>94</v>
      </c>
      <c r="B62" s="3" t="s">
        <v>192</v>
      </c>
      <c r="C62" s="3" t="s">
        <v>193</v>
      </c>
      <c r="D62" s="3" t="s">
        <v>80</v>
      </c>
      <c r="E62" s="3" t="s">
        <v>10</v>
      </c>
      <c r="F62" s="3" t="s">
        <v>125</v>
      </c>
      <c r="G62" s="3" t="s">
        <v>22</v>
      </c>
      <c r="H62" s="3" t="s">
        <v>23</v>
      </c>
      <c r="I62" s="3" t="s">
        <v>24</v>
      </c>
      <c r="J62" s="3" t="s">
        <v>25</v>
      </c>
      <c r="K62" s="1">
        <f t="shared" si="0"/>
        <v>1</v>
      </c>
      <c r="L62" s="1" t="str">
        <f>VLOOKUP(K62,List!$B$1:$D$10,2,0)</f>
        <v>Activo</v>
      </c>
      <c r="M62" s="1" t="str">
        <f>VLOOKUP(K62,List!$B$1:$D$10,3,0)</f>
        <v>Balance</v>
      </c>
      <c r="N62" s="1" t="str">
        <f t="shared" si="1"/>
        <v>13</v>
      </c>
      <c r="O62" s="1" t="str">
        <f>VLOOKUP(N62,List!$F$1:$G$36,2,0)</f>
        <v xml:space="preserve">Deudores Comerciales Y Otras Cuentas Por Cobrar</v>
      </c>
      <c r="P62" s="1" t="str">
        <f t="shared" si="2"/>
        <v>1355</v>
      </c>
      <c r="Q62" s="1" t="str">
        <f>VLOOKUP(P62,PUC!$A$7:$B$869,2,0)</f>
        <v xml:space="preserve">Anticipo de impuestos y contribuciones o</v>
      </c>
      <c r="R62" s="6" t="s">
        <v>1422</v>
      </c>
      <c r="S62" s="6" t="str">
        <f>VLOOKUP(N62,List!$F:$H,3,0)</f>
        <v xml:space="preserve">Corto Termino</v>
      </c>
    </row>
    <row r="63">
      <c r="A63" s="1">
        <v>95</v>
      </c>
      <c r="B63" s="3" t="s">
        <v>194</v>
      </c>
      <c r="C63" s="3" t="s">
        <v>165</v>
      </c>
      <c r="D63" s="3" t="s">
        <v>80</v>
      </c>
      <c r="E63" s="3" t="s">
        <v>10</v>
      </c>
      <c r="F63" s="3" t="s">
        <v>21</v>
      </c>
      <c r="G63" s="3" t="s">
        <v>22</v>
      </c>
      <c r="H63" s="3" t="s">
        <v>23</v>
      </c>
      <c r="I63" s="3" t="s">
        <v>24</v>
      </c>
      <c r="J63" s="3" t="s">
        <v>25</v>
      </c>
      <c r="K63" s="1">
        <f t="shared" si="0"/>
        <v>1</v>
      </c>
      <c r="L63" s="1" t="str">
        <f>VLOOKUP(K63,List!$B$1:$D$10,2,0)</f>
        <v>Activo</v>
      </c>
      <c r="M63" s="1" t="str">
        <f>VLOOKUP(K63,List!$B$1:$D$10,3,0)</f>
        <v>Balance</v>
      </c>
      <c r="N63" s="1" t="str">
        <f t="shared" si="1"/>
        <v>13</v>
      </c>
      <c r="O63" s="1" t="str">
        <f>VLOOKUP(N63,List!$F$1:$G$36,2,0)</f>
        <v xml:space="preserve">Deudores Comerciales Y Otras Cuentas Por Cobrar</v>
      </c>
      <c r="P63" s="1" t="str">
        <f t="shared" si="2"/>
        <v>1355</v>
      </c>
      <c r="Q63" s="1" t="str">
        <f>VLOOKUP(P63,PUC!$A$7:$B$869,2,0)</f>
        <v xml:space="preserve">Anticipo de impuestos y contribuciones o</v>
      </c>
      <c r="R63" s="6" t="s">
        <v>1422</v>
      </c>
      <c r="S63" s="6" t="str">
        <f>VLOOKUP(N63,List!$F:$H,3,0)</f>
        <v xml:space="preserve">Corto Termino</v>
      </c>
    </row>
    <row r="64">
      <c r="A64" s="1">
        <v>96</v>
      </c>
      <c r="B64" s="3" t="s">
        <v>195</v>
      </c>
      <c r="C64" s="3" t="s">
        <v>196</v>
      </c>
      <c r="D64" s="3" t="s">
        <v>80</v>
      </c>
      <c r="E64" s="3" t="s">
        <v>10</v>
      </c>
      <c r="F64" s="3" t="s">
        <v>21</v>
      </c>
      <c r="G64" s="3" t="s">
        <v>22</v>
      </c>
      <c r="H64" s="3" t="s">
        <v>23</v>
      </c>
      <c r="I64" s="3" t="s">
        <v>24</v>
      </c>
      <c r="J64" s="3" t="s">
        <v>25</v>
      </c>
      <c r="K64" s="1">
        <f t="shared" si="0"/>
        <v>1</v>
      </c>
      <c r="L64" s="1" t="str">
        <f>VLOOKUP(K64,List!$B$1:$D$10,2,0)</f>
        <v>Activo</v>
      </c>
      <c r="M64" s="1" t="str">
        <f>VLOOKUP(K64,List!$B$1:$D$10,3,0)</f>
        <v>Balance</v>
      </c>
      <c r="N64" s="1" t="str">
        <f t="shared" si="1"/>
        <v>13</v>
      </c>
      <c r="O64" s="1" t="str">
        <f>VLOOKUP(N64,List!$F$1:$G$36,2,0)</f>
        <v xml:space="preserve">Deudores Comerciales Y Otras Cuentas Por Cobrar</v>
      </c>
      <c r="P64" s="1" t="str">
        <f t="shared" si="2"/>
        <v>1355</v>
      </c>
      <c r="Q64" s="1" t="str">
        <f>VLOOKUP(P64,PUC!$A$7:$B$869,2,0)</f>
        <v xml:space="preserve">Anticipo de impuestos y contribuciones o</v>
      </c>
      <c r="R64" s="6" t="s">
        <v>1422</v>
      </c>
      <c r="S64" s="6" t="str">
        <f>VLOOKUP(N64,List!$F:$H,3,0)</f>
        <v xml:space="preserve">Corto Termino</v>
      </c>
    </row>
    <row r="65">
      <c r="A65" s="1">
        <v>97</v>
      </c>
      <c r="B65" s="3" t="s">
        <v>197</v>
      </c>
      <c r="C65" s="3" t="s">
        <v>198</v>
      </c>
      <c r="D65" s="3" t="s">
        <v>80</v>
      </c>
      <c r="E65" s="3" t="s">
        <v>10</v>
      </c>
      <c r="F65" s="3" t="s">
        <v>21</v>
      </c>
      <c r="G65" s="3" t="s">
        <v>22</v>
      </c>
      <c r="H65" s="3" t="s">
        <v>23</v>
      </c>
      <c r="I65" s="3" t="s">
        <v>24</v>
      </c>
      <c r="J65" s="3" t="s">
        <v>25</v>
      </c>
      <c r="K65" s="1">
        <f t="shared" si="0"/>
        <v>1</v>
      </c>
      <c r="L65" s="1" t="str">
        <f>VLOOKUP(K65,List!$B$1:$D$10,2,0)</f>
        <v>Activo</v>
      </c>
      <c r="M65" s="1" t="str">
        <f>VLOOKUP(K65,List!$B$1:$D$10,3,0)</f>
        <v>Balance</v>
      </c>
      <c r="N65" s="1" t="str">
        <f t="shared" si="1"/>
        <v>13</v>
      </c>
      <c r="O65" s="1" t="str">
        <f>VLOOKUP(N65,List!$F$1:$G$36,2,0)</f>
        <v xml:space="preserve">Deudores Comerciales Y Otras Cuentas Por Cobrar</v>
      </c>
      <c r="P65" s="1" t="str">
        <f t="shared" si="2"/>
        <v>1355</v>
      </c>
      <c r="Q65" s="1" t="str">
        <f>VLOOKUP(P65,PUC!$A$7:$B$869,2,0)</f>
        <v xml:space="preserve">Anticipo de impuestos y contribuciones o</v>
      </c>
      <c r="R65" s="6" t="s">
        <v>1422</v>
      </c>
      <c r="S65" s="6" t="str">
        <f>VLOOKUP(N65,List!$F:$H,3,0)</f>
        <v xml:space="preserve">Corto Termino</v>
      </c>
    </row>
    <row r="66">
      <c r="A66" s="1">
        <v>98</v>
      </c>
      <c r="B66" s="3" t="s">
        <v>199</v>
      </c>
      <c r="C66" s="3" t="s">
        <v>200</v>
      </c>
      <c r="D66" s="3" t="s">
        <v>80</v>
      </c>
      <c r="E66" s="3" t="s">
        <v>10</v>
      </c>
      <c r="F66" s="3" t="s">
        <v>21</v>
      </c>
      <c r="G66" s="3" t="s">
        <v>22</v>
      </c>
      <c r="H66" s="3" t="s">
        <v>23</v>
      </c>
      <c r="I66" s="3" t="s">
        <v>24</v>
      </c>
      <c r="J66" s="3" t="s">
        <v>25</v>
      </c>
      <c r="K66" s="1">
        <f t="shared" ref="K66:K129" si="3">VALUE(LEFT(B66))</f>
        <v>1</v>
      </c>
      <c r="L66" s="1" t="str">
        <f>VLOOKUP(K66,List!$B$1:$D$10,2,0)</f>
        <v>Activo</v>
      </c>
      <c r="M66" s="1" t="str">
        <f>VLOOKUP(K66,List!$B$1:$D$10,3,0)</f>
        <v>Balance</v>
      </c>
      <c r="N66" s="1" t="str">
        <f t="shared" ref="N66:N129" si="4">LEFT(B66,2)</f>
        <v>13</v>
      </c>
      <c r="O66" s="1" t="str">
        <f>VLOOKUP(N66,List!$F$1:$G$36,2,0)</f>
        <v xml:space="preserve">Deudores Comerciales Y Otras Cuentas Por Cobrar</v>
      </c>
      <c r="P66" s="1" t="str">
        <f t="shared" ref="P66:P129" si="5">LEFT(B66,4)</f>
        <v>1355</v>
      </c>
      <c r="Q66" s="1" t="str">
        <f>VLOOKUP(P66,PUC!$A$7:$B$869,2,0)</f>
        <v xml:space="preserve">Anticipo de impuestos y contribuciones o</v>
      </c>
      <c r="R66" s="6" t="s">
        <v>1422</v>
      </c>
      <c r="S66" s="6" t="str">
        <f>VLOOKUP(N66,List!$F:$H,3,0)</f>
        <v xml:space="preserve">Corto Termino</v>
      </c>
    </row>
    <row r="67">
      <c r="A67" s="1">
        <v>100</v>
      </c>
      <c r="B67" s="3" t="s">
        <v>203</v>
      </c>
      <c r="C67" s="3" t="s">
        <v>204</v>
      </c>
      <c r="D67" s="3" t="s">
        <v>205</v>
      </c>
      <c r="E67" s="3" t="s">
        <v>10</v>
      </c>
      <c r="F67" s="3" t="s">
        <v>21</v>
      </c>
      <c r="G67" s="3" t="s">
        <v>22</v>
      </c>
      <c r="H67" s="3" t="s">
        <v>23</v>
      </c>
      <c r="I67" s="3" t="s">
        <v>24</v>
      </c>
      <c r="J67" s="3" t="s">
        <v>25</v>
      </c>
      <c r="K67" s="1">
        <f t="shared" si="3"/>
        <v>1</v>
      </c>
      <c r="L67" s="1" t="str">
        <f>VLOOKUP(K67,List!$B$1:$D$10,2,0)</f>
        <v>Activo</v>
      </c>
      <c r="M67" s="1" t="str">
        <f>VLOOKUP(K67,List!$B$1:$D$10,3,0)</f>
        <v>Balance</v>
      </c>
      <c r="N67" s="1" t="str">
        <f t="shared" si="4"/>
        <v>13</v>
      </c>
      <c r="O67" s="1" t="str">
        <f>VLOOKUP(N67,List!$F$1:$G$36,2,0)</f>
        <v xml:space="preserve">Deudores Comerciales Y Otras Cuentas Por Cobrar</v>
      </c>
      <c r="P67" s="1" t="str">
        <f t="shared" si="5"/>
        <v>1355</v>
      </c>
      <c r="Q67" s="1" t="str">
        <f>VLOOKUP(P67,PUC!$A$7:$B$869,2,0)</f>
        <v xml:space="preserve">Anticipo de impuestos y contribuciones o</v>
      </c>
      <c r="R67" s="6" t="s">
        <v>1422</v>
      </c>
      <c r="S67" s="6" t="str">
        <f>VLOOKUP(N67,List!$F:$H,3,0)</f>
        <v xml:space="preserve">Corto Termino</v>
      </c>
    </row>
    <row r="68">
      <c r="A68" s="1">
        <v>101</v>
      </c>
      <c r="B68" s="3" t="s">
        <v>206</v>
      </c>
      <c r="C68" s="3" t="s">
        <v>207</v>
      </c>
      <c r="D68" s="3" t="s">
        <v>205</v>
      </c>
      <c r="E68" s="3" t="s">
        <v>10</v>
      </c>
      <c r="F68" s="3" t="s">
        <v>21</v>
      </c>
      <c r="G68" s="3" t="s">
        <v>22</v>
      </c>
      <c r="H68" s="3" t="s">
        <v>23</v>
      </c>
      <c r="I68" s="3" t="s">
        <v>24</v>
      </c>
      <c r="J68" s="3" t="s">
        <v>25</v>
      </c>
      <c r="K68" s="1">
        <f t="shared" si="3"/>
        <v>1</v>
      </c>
      <c r="L68" s="1" t="str">
        <f>VLOOKUP(K68,List!$B$1:$D$10,2,0)</f>
        <v>Activo</v>
      </c>
      <c r="M68" s="1" t="str">
        <f>VLOOKUP(K68,List!$B$1:$D$10,3,0)</f>
        <v>Balance</v>
      </c>
      <c r="N68" s="1" t="str">
        <f t="shared" si="4"/>
        <v>13</v>
      </c>
      <c r="O68" s="1" t="str">
        <f>VLOOKUP(N68,List!$F$1:$G$36,2,0)</f>
        <v xml:space="preserve">Deudores Comerciales Y Otras Cuentas Por Cobrar</v>
      </c>
      <c r="P68" s="1" t="str">
        <f t="shared" si="5"/>
        <v>1355</v>
      </c>
      <c r="Q68" s="1" t="str">
        <f>VLOOKUP(P68,PUC!$A$7:$B$869,2,0)</f>
        <v xml:space="preserve">Anticipo de impuestos y contribuciones o</v>
      </c>
      <c r="R68" s="6" t="s">
        <v>1422</v>
      </c>
      <c r="S68" s="6" t="str">
        <f>VLOOKUP(N68,List!$F:$H,3,0)</f>
        <v xml:space="preserve">Corto Termino</v>
      </c>
    </row>
    <row r="69">
      <c r="A69" s="1">
        <v>104</v>
      </c>
      <c r="B69" s="3" t="s">
        <v>212</v>
      </c>
      <c r="C69" s="3" t="s">
        <v>211</v>
      </c>
      <c r="D69" s="3" t="s">
        <v>80</v>
      </c>
      <c r="E69" s="3" t="s">
        <v>10</v>
      </c>
      <c r="F69" s="3" t="s">
        <v>21</v>
      </c>
      <c r="G69" s="3" t="s">
        <v>22</v>
      </c>
      <c r="H69" s="3" t="s">
        <v>23</v>
      </c>
      <c r="I69" s="3" t="s">
        <v>24</v>
      </c>
      <c r="J69" s="3" t="s">
        <v>25</v>
      </c>
      <c r="K69" s="1">
        <f t="shared" si="3"/>
        <v>1</v>
      </c>
      <c r="L69" s="1" t="str">
        <f>VLOOKUP(K69,List!$B$1:$D$10,2,0)</f>
        <v>Activo</v>
      </c>
      <c r="M69" s="1" t="str">
        <f>VLOOKUP(K69,List!$B$1:$D$10,3,0)</f>
        <v>Balance</v>
      </c>
      <c r="N69" s="1" t="str">
        <f t="shared" si="4"/>
        <v>13</v>
      </c>
      <c r="O69" s="1" t="str">
        <f>VLOOKUP(N69,List!$F$1:$G$36,2,0)</f>
        <v xml:space="preserve">Deudores Comerciales Y Otras Cuentas Por Cobrar</v>
      </c>
      <c r="P69" s="1" t="str">
        <f t="shared" si="5"/>
        <v>1365</v>
      </c>
      <c r="Q69" s="1" t="str">
        <f>VLOOKUP(P69,PUC!$A$7:$B$869,2,0)</f>
        <v xml:space="preserve">Cuentas por cobrar a trabajadores</v>
      </c>
      <c r="R69" s="6" t="s">
        <v>1422</v>
      </c>
      <c r="S69" s="6" t="str">
        <f>VLOOKUP(N69,List!$F:$H,3,0)</f>
        <v xml:space="preserve">Corto Termino</v>
      </c>
    </row>
    <row r="70">
      <c r="A70" s="1">
        <v>106</v>
      </c>
      <c r="B70" s="3" t="s">
        <v>215</v>
      </c>
      <c r="C70" s="3" t="s">
        <v>214</v>
      </c>
      <c r="D70" s="3" t="s">
        <v>80</v>
      </c>
      <c r="E70" s="3" t="s">
        <v>10</v>
      </c>
      <c r="F70" s="3" t="s">
        <v>21</v>
      </c>
      <c r="G70" s="3" t="s">
        <v>22</v>
      </c>
      <c r="H70" s="3" t="s">
        <v>23</v>
      </c>
      <c r="I70" s="3" t="s">
        <v>24</v>
      </c>
      <c r="J70" s="3" t="s">
        <v>25</v>
      </c>
      <c r="K70" s="1">
        <f t="shared" si="3"/>
        <v>1</v>
      </c>
      <c r="L70" s="1" t="str">
        <f>VLOOKUP(K70,List!$B$1:$D$10,2,0)</f>
        <v>Activo</v>
      </c>
      <c r="M70" s="1" t="str">
        <f>VLOOKUP(K70,List!$B$1:$D$10,3,0)</f>
        <v>Balance</v>
      </c>
      <c r="N70" s="1" t="str">
        <f t="shared" si="4"/>
        <v>13</v>
      </c>
      <c r="O70" s="1" t="str">
        <f>VLOOKUP(N70,List!$F$1:$G$36,2,0)</f>
        <v xml:space="preserve">Deudores Comerciales Y Otras Cuentas Por Cobrar</v>
      </c>
      <c r="P70" s="1" t="str">
        <f t="shared" si="5"/>
        <v>1365</v>
      </c>
      <c r="Q70" s="1" t="str">
        <f>VLOOKUP(P70,PUC!$A$7:$B$869,2,0)</f>
        <v xml:space="preserve">Cuentas por cobrar a trabajadores</v>
      </c>
      <c r="R70" s="6" t="s">
        <v>1422</v>
      </c>
      <c r="S70" s="6" t="str">
        <f>VLOOKUP(N70,List!$F:$H,3,0)</f>
        <v xml:space="preserve">Corto Termino</v>
      </c>
    </row>
    <row r="71">
      <c r="A71" s="1">
        <v>109</v>
      </c>
      <c r="B71" s="3" t="s">
        <v>219</v>
      </c>
      <c r="C71" s="3" t="s">
        <v>220</v>
      </c>
      <c r="D71" s="3" t="s">
        <v>80</v>
      </c>
      <c r="E71" s="3" t="s">
        <v>10</v>
      </c>
      <c r="F71" s="3" t="s">
        <v>21</v>
      </c>
      <c r="G71" s="3" t="s">
        <v>22</v>
      </c>
      <c r="H71" s="3" t="s">
        <v>23</v>
      </c>
      <c r="I71" s="3" t="s">
        <v>24</v>
      </c>
      <c r="J71" s="3" t="s">
        <v>25</v>
      </c>
      <c r="K71" s="1">
        <f t="shared" si="3"/>
        <v>1</v>
      </c>
      <c r="L71" s="1" t="str">
        <f>VLOOKUP(K71,List!$B$1:$D$10,2,0)</f>
        <v>Activo</v>
      </c>
      <c r="M71" s="1" t="str">
        <f>VLOOKUP(K71,List!$B$1:$D$10,3,0)</f>
        <v>Balance</v>
      </c>
      <c r="N71" s="1" t="str">
        <f t="shared" si="4"/>
        <v>13</v>
      </c>
      <c r="O71" s="1" t="str">
        <f>VLOOKUP(N71,List!$F$1:$G$36,2,0)</f>
        <v xml:space="preserve">Deudores Comerciales Y Otras Cuentas Por Cobrar</v>
      </c>
      <c r="P71" s="1" t="str">
        <f t="shared" si="5"/>
        <v>1380</v>
      </c>
      <c r="Q71" s="1" t="str">
        <f>VLOOKUP(P71,PUC!$A$7:$B$869,2,0)</f>
        <v xml:space="preserve">Deudores varios</v>
      </c>
      <c r="R71" s="6" t="s">
        <v>1422</v>
      </c>
      <c r="S71" s="6" t="str">
        <f>VLOOKUP(N71,List!$F:$H,3,0)</f>
        <v xml:space="preserve">Corto Termino</v>
      </c>
    </row>
    <row r="72">
      <c r="A72" s="1">
        <v>110</v>
      </c>
      <c r="B72" s="3" t="s">
        <v>221</v>
      </c>
      <c r="C72" s="3" t="s">
        <v>222</v>
      </c>
      <c r="D72" s="3" t="s">
        <v>80</v>
      </c>
      <c r="E72" s="3" t="s">
        <v>10</v>
      </c>
      <c r="F72" s="3" t="s">
        <v>21</v>
      </c>
      <c r="G72" s="3" t="s">
        <v>22</v>
      </c>
      <c r="H72" s="3" t="s">
        <v>23</v>
      </c>
      <c r="I72" s="3" t="s">
        <v>24</v>
      </c>
      <c r="J72" s="3" t="s">
        <v>25</v>
      </c>
      <c r="K72" s="1">
        <f t="shared" si="3"/>
        <v>1</v>
      </c>
      <c r="L72" s="1" t="str">
        <f>VLOOKUP(K72,List!$B$1:$D$10,2,0)</f>
        <v>Activo</v>
      </c>
      <c r="M72" s="1" t="str">
        <f>VLOOKUP(K72,List!$B$1:$D$10,3,0)</f>
        <v>Balance</v>
      </c>
      <c r="N72" s="1" t="str">
        <f t="shared" si="4"/>
        <v>13</v>
      </c>
      <c r="O72" s="1" t="str">
        <f>VLOOKUP(N72,List!$F$1:$G$36,2,0)</f>
        <v xml:space="preserve">Deudores Comerciales Y Otras Cuentas Por Cobrar</v>
      </c>
      <c r="P72" s="1" t="str">
        <f t="shared" si="5"/>
        <v>1380</v>
      </c>
      <c r="Q72" s="1" t="str">
        <f>VLOOKUP(P72,PUC!$A$7:$B$869,2,0)</f>
        <v xml:space="preserve">Deudores varios</v>
      </c>
      <c r="R72" s="6" t="s">
        <v>1422</v>
      </c>
      <c r="S72" s="6" t="str">
        <f>VLOOKUP(N72,List!$F:$H,3,0)</f>
        <v xml:space="preserve">Corto Termino</v>
      </c>
    </row>
    <row r="73">
      <c r="A73" s="1">
        <v>113</v>
      </c>
      <c r="B73" s="3" t="s">
        <v>227</v>
      </c>
      <c r="C73" s="3" t="s">
        <v>226</v>
      </c>
      <c r="D73" s="3" t="s">
        <v>80</v>
      </c>
      <c r="E73" s="3" t="s">
        <v>10</v>
      </c>
      <c r="F73" s="3" t="s">
        <v>21</v>
      </c>
      <c r="G73" s="3" t="s">
        <v>22</v>
      </c>
      <c r="H73" s="3" t="s">
        <v>23</v>
      </c>
      <c r="I73" s="3" t="s">
        <v>24</v>
      </c>
      <c r="J73" s="3" t="s">
        <v>25</v>
      </c>
      <c r="K73" s="1">
        <f t="shared" si="3"/>
        <v>1</v>
      </c>
      <c r="L73" s="1" t="str">
        <f>VLOOKUP(K73,List!$B$1:$D$10,2,0)</f>
        <v>Activo</v>
      </c>
      <c r="M73" s="1" t="str">
        <f>VLOOKUP(K73,List!$B$1:$D$10,3,0)</f>
        <v>Balance</v>
      </c>
      <c r="N73" s="1" t="str">
        <f t="shared" si="4"/>
        <v>13</v>
      </c>
      <c r="O73" s="1" t="str">
        <f>VLOOKUP(N73,List!$F$1:$G$36,2,0)</f>
        <v xml:space="preserve">Deudores Comerciales Y Otras Cuentas Por Cobrar</v>
      </c>
      <c r="P73" s="1" t="str">
        <f t="shared" si="5"/>
        <v>1399</v>
      </c>
      <c r="Q73" s="1" t="str">
        <f>VLOOKUP(P73,PUC!$A$7:$B$869,2,0)</f>
        <v>Provisiones</v>
      </c>
      <c r="R73" s="6" t="s">
        <v>1422</v>
      </c>
      <c r="S73" s="6" t="str">
        <f>VLOOKUP(N73,List!$F:$H,3,0)</f>
        <v xml:space="preserve">Corto Termino</v>
      </c>
    </row>
    <row r="74">
      <c r="A74" s="1">
        <v>114</v>
      </c>
      <c r="B74" s="3" t="s">
        <v>228</v>
      </c>
      <c r="C74" s="3" t="s">
        <v>229</v>
      </c>
      <c r="D74" s="3" t="s">
        <v>80</v>
      </c>
      <c r="E74" s="3" t="s">
        <v>10</v>
      </c>
      <c r="F74" s="3" t="s">
        <v>21</v>
      </c>
      <c r="G74" s="3" t="s">
        <v>22</v>
      </c>
      <c r="H74" s="3" t="s">
        <v>24</v>
      </c>
      <c r="I74" s="3" t="s">
        <v>24</v>
      </c>
      <c r="J74" s="3" t="s">
        <v>25</v>
      </c>
      <c r="K74" s="1">
        <f t="shared" si="3"/>
        <v>1</v>
      </c>
      <c r="L74" s="1" t="str">
        <f>VLOOKUP(K74,List!$B$1:$D$10,2,0)</f>
        <v>Activo</v>
      </c>
      <c r="M74" s="1" t="str">
        <f>VLOOKUP(K74,List!$B$1:$D$10,3,0)</f>
        <v>Balance</v>
      </c>
      <c r="N74" s="1" t="str">
        <f t="shared" si="4"/>
        <v>13</v>
      </c>
      <c r="O74" s="1" t="str">
        <f>VLOOKUP(N74,List!$F$1:$G$36,2,0)</f>
        <v xml:space="preserve">Deudores Comerciales Y Otras Cuentas Por Cobrar</v>
      </c>
      <c r="P74" s="1" t="str">
        <f t="shared" si="5"/>
        <v>1399</v>
      </c>
      <c r="Q74" s="1" t="str">
        <f>VLOOKUP(P74,PUC!$A$7:$B$869,2,0)</f>
        <v>Provisiones</v>
      </c>
      <c r="R74" s="6" t="s">
        <v>1422</v>
      </c>
      <c r="S74" s="6" t="str">
        <f>VLOOKUP(N74,List!$F:$H,3,0)</f>
        <v xml:space="preserve">Corto Termino</v>
      </c>
    </row>
    <row r="75">
      <c r="A75" s="1">
        <v>118</v>
      </c>
      <c r="B75" s="3" t="s">
        <v>236</v>
      </c>
      <c r="C75" s="3" t="s">
        <v>235</v>
      </c>
      <c r="D75" s="3" t="s">
        <v>231</v>
      </c>
      <c r="E75" s="3" t="s">
        <v>10</v>
      </c>
      <c r="F75" s="3" t="s">
        <v>21</v>
      </c>
      <c r="G75" s="3" t="s">
        <v>22</v>
      </c>
      <c r="H75" s="3" t="s">
        <v>23</v>
      </c>
      <c r="I75" s="3" t="s">
        <v>24</v>
      </c>
      <c r="J75" s="3" t="s">
        <v>25</v>
      </c>
      <c r="K75" s="1">
        <f t="shared" si="3"/>
        <v>1</v>
      </c>
      <c r="L75" s="1" t="str">
        <f>VLOOKUP(K75,List!$B$1:$D$10,2,0)</f>
        <v>Activo</v>
      </c>
      <c r="M75" s="1" t="str">
        <f>VLOOKUP(K75,List!$B$1:$D$10,3,0)</f>
        <v>Balance</v>
      </c>
      <c r="N75" s="1" t="str">
        <f t="shared" si="4"/>
        <v>14</v>
      </c>
      <c r="O75" s="1" t="str">
        <f>VLOOKUP(N75,List!$F$1:$G$36,2,0)</f>
        <v>Inventarios</v>
      </c>
      <c r="P75" s="1" t="str">
        <f t="shared" si="5"/>
        <v>1435</v>
      </c>
      <c r="Q75" s="1" t="str">
        <f>VLOOKUP(P75,PUC!$A$7:$B$869,2,0)</f>
        <v xml:space="preserve">Mercancías no fabricadas por la empresa</v>
      </c>
      <c r="R75" s="6" t="s">
        <v>1422</v>
      </c>
      <c r="S75" s="6" t="str">
        <f>VLOOKUP(N75,List!$F:$H,3,0)</f>
        <v xml:space="preserve">Corto Termino</v>
      </c>
    </row>
    <row r="76">
      <c r="A76" s="1">
        <v>121</v>
      </c>
      <c r="B76" s="3" t="s">
        <v>239</v>
      </c>
      <c r="C76" s="3" t="s">
        <v>108</v>
      </c>
      <c r="D76" s="3" t="s">
        <v>231</v>
      </c>
      <c r="E76" s="3" t="s">
        <v>10</v>
      </c>
      <c r="F76" s="3" t="s">
        <v>21</v>
      </c>
      <c r="G76" s="3" t="s">
        <v>22</v>
      </c>
      <c r="H76" s="3" t="s">
        <v>23</v>
      </c>
      <c r="I76" s="3" t="s">
        <v>24</v>
      </c>
      <c r="J76" s="3" t="s">
        <v>25</v>
      </c>
      <c r="K76" s="1">
        <f t="shared" si="3"/>
        <v>1</v>
      </c>
      <c r="L76" s="1" t="str">
        <f>VLOOKUP(K76,List!$B$1:$D$10,2,0)</f>
        <v>Activo</v>
      </c>
      <c r="M76" s="1" t="str">
        <f>VLOOKUP(K76,List!$B$1:$D$10,3,0)</f>
        <v>Balance</v>
      </c>
      <c r="N76" s="1" t="str">
        <f t="shared" si="4"/>
        <v>14</v>
      </c>
      <c r="O76" s="1" t="str">
        <f>VLOOKUP(N76,List!$F$1:$G$36,2,0)</f>
        <v>Inventarios</v>
      </c>
      <c r="P76" s="1" t="str">
        <f t="shared" si="5"/>
        <v>1498</v>
      </c>
      <c r="Q76" s="1" t="str">
        <f>VLOOKUP(P76,PUC!$A$7:$B$869,2,0)</f>
        <v>Otros</v>
      </c>
      <c r="R76" s="6" t="s">
        <v>1422</v>
      </c>
      <c r="S76" s="6" t="str">
        <f>VLOOKUP(N76,List!$F:$H,3,0)</f>
        <v xml:space="preserve">Corto Termino</v>
      </c>
    </row>
    <row r="77">
      <c r="A77" s="1">
        <v>125</v>
      </c>
      <c r="B77" s="3" t="s">
        <v>246</v>
      </c>
      <c r="C77" s="3" t="s">
        <v>245</v>
      </c>
      <c r="D77" s="3" t="s">
        <v>247</v>
      </c>
      <c r="E77" s="3" t="s">
        <v>10</v>
      </c>
      <c r="F77" s="3" t="s">
        <v>21</v>
      </c>
      <c r="G77" s="3" t="s">
        <v>22</v>
      </c>
      <c r="H77" s="3" t="s">
        <v>23</v>
      </c>
      <c r="I77" s="3" t="s">
        <v>24</v>
      </c>
      <c r="J77" s="3" t="s">
        <v>25</v>
      </c>
      <c r="K77" s="1">
        <f t="shared" si="3"/>
        <v>1</v>
      </c>
      <c r="L77" s="1" t="str">
        <f>VLOOKUP(K77,List!$B$1:$D$10,2,0)</f>
        <v>Activo</v>
      </c>
      <c r="M77" s="1" t="str">
        <f>VLOOKUP(K77,List!$B$1:$D$10,3,0)</f>
        <v>Balance</v>
      </c>
      <c r="N77" s="1" t="str">
        <f t="shared" si="4"/>
        <v>15</v>
      </c>
      <c r="O77" s="1" t="str">
        <f>VLOOKUP(N77,List!$F$1:$G$36,2,0)</f>
        <v xml:space="preserve">Propiedad Planta Y Equipo</v>
      </c>
      <c r="P77" s="1" t="str">
        <f t="shared" si="5"/>
        <v>1504</v>
      </c>
      <c r="Q77" s="1" t="str">
        <f>VLOOKUP(P77,PUC!$A$7:$B$869,2,0)</f>
        <v>Terrenos</v>
      </c>
      <c r="R77" s="6" t="s">
        <v>1422</v>
      </c>
      <c r="S77" s="6" t="str">
        <f>VLOOKUP(N77,List!$F:$H,3,0)</f>
        <v xml:space="preserve">Largo Termino</v>
      </c>
    </row>
    <row r="78">
      <c r="A78" s="1">
        <v>126</v>
      </c>
      <c r="B78" s="3" t="s">
        <v>248</v>
      </c>
      <c r="C78" s="3" t="s">
        <v>249</v>
      </c>
      <c r="D78" s="3" t="s">
        <v>247</v>
      </c>
      <c r="E78" s="3" t="s">
        <v>10</v>
      </c>
      <c r="F78" s="3" t="s">
        <v>21</v>
      </c>
      <c r="G78" s="3" t="s">
        <v>22</v>
      </c>
      <c r="H78" s="3" t="s">
        <v>24</v>
      </c>
      <c r="I78" s="3" t="s">
        <v>24</v>
      </c>
      <c r="J78" s="3" t="s">
        <v>25</v>
      </c>
      <c r="K78" s="1">
        <f t="shared" si="3"/>
        <v>1</v>
      </c>
      <c r="L78" s="1" t="str">
        <f>VLOOKUP(K78,List!$B$1:$D$10,2,0)</f>
        <v>Activo</v>
      </c>
      <c r="M78" s="1" t="str">
        <f>VLOOKUP(K78,List!$B$1:$D$10,3,0)</f>
        <v>Balance</v>
      </c>
      <c r="N78" s="1" t="str">
        <f t="shared" si="4"/>
        <v>15</v>
      </c>
      <c r="O78" s="1" t="str">
        <f>VLOOKUP(N78,List!$F$1:$G$36,2,0)</f>
        <v xml:space="preserve">Propiedad Planta Y Equipo</v>
      </c>
      <c r="P78" s="1" t="str">
        <f t="shared" si="5"/>
        <v>1504</v>
      </c>
      <c r="Q78" s="1" t="str">
        <f>VLOOKUP(P78,PUC!$A$7:$B$869,2,0)</f>
        <v>Terrenos</v>
      </c>
      <c r="R78" s="6" t="s">
        <v>1422</v>
      </c>
      <c r="S78" s="6" t="str">
        <f>VLOOKUP(N78,List!$F:$H,3,0)</f>
        <v xml:space="preserve">Largo Termino</v>
      </c>
    </row>
    <row r="79">
      <c r="A79" s="1">
        <v>129</v>
      </c>
      <c r="B79" s="3" t="s">
        <v>254</v>
      </c>
      <c r="C79" s="3" t="s">
        <v>253</v>
      </c>
      <c r="D79" s="3" t="s">
        <v>247</v>
      </c>
      <c r="E79" s="3" t="s">
        <v>10</v>
      </c>
      <c r="F79" s="3" t="s">
        <v>21</v>
      </c>
      <c r="G79" s="3" t="s">
        <v>22</v>
      </c>
      <c r="H79" s="3" t="s">
        <v>23</v>
      </c>
      <c r="I79" s="3" t="s">
        <v>24</v>
      </c>
      <c r="J79" s="3" t="s">
        <v>25</v>
      </c>
      <c r="K79" s="1">
        <f t="shared" si="3"/>
        <v>1</v>
      </c>
      <c r="L79" s="1" t="str">
        <f>VLOOKUP(K79,List!$B$1:$D$10,2,0)</f>
        <v>Activo</v>
      </c>
      <c r="M79" s="1" t="str">
        <f>VLOOKUP(K79,List!$B$1:$D$10,3,0)</f>
        <v>Balance</v>
      </c>
      <c r="N79" s="1" t="str">
        <f t="shared" si="4"/>
        <v>15</v>
      </c>
      <c r="O79" s="1" t="str">
        <f>VLOOKUP(N79,List!$F$1:$G$36,2,0)</f>
        <v xml:space="preserve">Propiedad Planta Y Equipo</v>
      </c>
      <c r="P79" s="1" t="str">
        <f t="shared" si="5"/>
        <v>1516</v>
      </c>
      <c r="Q79" s="1" t="str">
        <f>VLOOKUP(P79,PUC!$A$7:$B$869,2,0)</f>
        <v xml:space="preserve">Construcciones y edificaciones</v>
      </c>
      <c r="R79" s="6" t="s">
        <v>1422</v>
      </c>
      <c r="S79" s="6" t="str">
        <f>VLOOKUP(N79,List!$F:$H,3,0)</f>
        <v xml:space="preserve">Largo Termino</v>
      </c>
    </row>
    <row r="80">
      <c r="A80" s="1">
        <v>130</v>
      </c>
      <c r="B80" s="3" t="s">
        <v>255</v>
      </c>
      <c r="C80" s="3" t="s">
        <v>256</v>
      </c>
      <c r="D80" s="3" t="s">
        <v>247</v>
      </c>
      <c r="E80" s="3" t="s">
        <v>10</v>
      </c>
      <c r="F80" s="3" t="s">
        <v>21</v>
      </c>
      <c r="G80" s="3" t="s">
        <v>22</v>
      </c>
      <c r="H80" s="3" t="s">
        <v>24</v>
      </c>
      <c r="I80" s="3" t="s">
        <v>24</v>
      </c>
      <c r="J80" s="3" t="s">
        <v>25</v>
      </c>
      <c r="K80" s="1">
        <f t="shared" si="3"/>
        <v>1</v>
      </c>
      <c r="L80" s="1" t="str">
        <f>VLOOKUP(K80,List!$B$1:$D$10,2,0)</f>
        <v>Activo</v>
      </c>
      <c r="M80" s="1" t="str">
        <f>VLOOKUP(K80,List!$B$1:$D$10,3,0)</f>
        <v>Balance</v>
      </c>
      <c r="N80" s="1" t="str">
        <f t="shared" si="4"/>
        <v>15</v>
      </c>
      <c r="O80" s="1" t="str">
        <f>VLOOKUP(N80,List!$F$1:$G$36,2,0)</f>
        <v xml:space="preserve">Propiedad Planta Y Equipo</v>
      </c>
      <c r="P80" s="1" t="str">
        <f t="shared" si="5"/>
        <v>1516</v>
      </c>
      <c r="Q80" s="1" t="str">
        <f>VLOOKUP(P80,PUC!$A$7:$B$869,2,0)</f>
        <v xml:space="preserve">Construcciones y edificaciones</v>
      </c>
      <c r="R80" s="6" t="s">
        <v>1422</v>
      </c>
      <c r="S80" s="6" t="str">
        <f>VLOOKUP(N80,List!$F:$H,3,0)</f>
        <v xml:space="preserve">Largo Termino</v>
      </c>
    </row>
    <row r="81">
      <c r="A81" s="1">
        <v>132</v>
      </c>
      <c r="B81" s="3" t="s">
        <v>258</v>
      </c>
      <c r="C81" s="3" t="s">
        <v>259</v>
      </c>
      <c r="D81" s="3" t="s">
        <v>247</v>
      </c>
      <c r="E81" s="3" t="s">
        <v>10</v>
      </c>
      <c r="F81" s="3" t="s">
        <v>21</v>
      </c>
      <c r="G81" s="3" t="s">
        <v>22</v>
      </c>
      <c r="H81" s="3" t="s">
        <v>23</v>
      </c>
      <c r="I81" s="3" t="s">
        <v>24</v>
      </c>
      <c r="J81" s="3" t="s">
        <v>25</v>
      </c>
      <c r="K81" s="1">
        <f t="shared" si="3"/>
        <v>1</v>
      </c>
      <c r="L81" s="1" t="str">
        <f>VLOOKUP(K81,List!$B$1:$D$10,2,0)</f>
        <v>Activo</v>
      </c>
      <c r="M81" s="1" t="str">
        <f>VLOOKUP(K81,List!$B$1:$D$10,3,0)</f>
        <v>Balance</v>
      </c>
      <c r="N81" s="1" t="str">
        <f t="shared" si="4"/>
        <v>15</v>
      </c>
      <c r="O81" s="1" t="str">
        <f>VLOOKUP(N81,List!$F$1:$G$36,2,0)</f>
        <v xml:space="preserve">Propiedad Planta Y Equipo</v>
      </c>
      <c r="P81" s="1" t="str">
        <f t="shared" si="5"/>
        <v>1516</v>
      </c>
      <c r="Q81" s="1" t="str">
        <f>VLOOKUP(P81,PUC!$A$7:$B$869,2,0)</f>
        <v xml:space="preserve">Construcciones y edificaciones</v>
      </c>
      <c r="R81" s="6" t="s">
        <v>1422</v>
      </c>
      <c r="S81" s="6" t="str">
        <f>VLOOKUP(N81,List!$F:$H,3,0)</f>
        <v xml:space="preserve">Largo Termino</v>
      </c>
    </row>
    <row r="82">
      <c r="A82" s="1">
        <v>133</v>
      </c>
      <c r="B82" s="3" t="s">
        <v>260</v>
      </c>
      <c r="C82" s="3" t="s">
        <v>261</v>
      </c>
      <c r="D82" s="3" t="s">
        <v>247</v>
      </c>
      <c r="E82" s="3" t="s">
        <v>10</v>
      </c>
      <c r="F82" s="3" t="s">
        <v>21</v>
      </c>
      <c r="G82" s="3" t="s">
        <v>22</v>
      </c>
      <c r="H82" s="3" t="s">
        <v>24</v>
      </c>
      <c r="I82" s="3" t="s">
        <v>24</v>
      </c>
      <c r="J82" s="3" t="s">
        <v>25</v>
      </c>
      <c r="K82" s="1">
        <f t="shared" si="3"/>
        <v>1</v>
      </c>
      <c r="L82" s="1" t="str">
        <f>VLOOKUP(K82,List!$B$1:$D$10,2,0)</f>
        <v>Activo</v>
      </c>
      <c r="M82" s="1" t="str">
        <f>VLOOKUP(K82,List!$B$1:$D$10,3,0)</f>
        <v>Balance</v>
      </c>
      <c r="N82" s="1" t="str">
        <f t="shared" si="4"/>
        <v>15</v>
      </c>
      <c r="O82" s="1" t="str">
        <f>VLOOKUP(N82,List!$F$1:$G$36,2,0)</f>
        <v xml:space="preserve">Propiedad Planta Y Equipo</v>
      </c>
      <c r="P82" s="1" t="str">
        <f t="shared" si="5"/>
        <v>1516</v>
      </c>
      <c r="Q82" s="1" t="str">
        <f>VLOOKUP(P82,PUC!$A$7:$B$869,2,0)</f>
        <v xml:space="preserve">Construcciones y edificaciones</v>
      </c>
      <c r="R82" s="6" t="s">
        <v>1422</v>
      </c>
      <c r="S82" s="6" t="str">
        <f>VLOOKUP(N82,List!$F:$H,3,0)</f>
        <v xml:space="preserve">Largo Termino</v>
      </c>
    </row>
    <row r="83">
      <c r="A83" s="1">
        <v>136</v>
      </c>
      <c r="B83" s="3" t="s">
        <v>266</v>
      </c>
      <c r="C83" s="3" t="s">
        <v>265</v>
      </c>
      <c r="D83" s="3" t="s">
        <v>247</v>
      </c>
      <c r="E83" s="3" t="s">
        <v>10</v>
      </c>
      <c r="F83" s="3" t="s">
        <v>267</v>
      </c>
      <c r="G83" s="3" t="s">
        <v>22</v>
      </c>
      <c r="H83" s="3" t="s">
        <v>23</v>
      </c>
      <c r="I83" s="3" t="s">
        <v>24</v>
      </c>
      <c r="J83" s="3" t="s">
        <v>25</v>
      </c>
      <c r="K83" s="1">
        <f t="shared" si="3"/>
        <v>1</v>
      </c>
      <c r="L83" s="1" t="str">
        <f>VLOOKUP(K83,List!$B$1:$D$10,2,0)</f>
        <v>Activo</v>
      </c>
      <c r="M83" s="1" t="str">
        <f>VLOOKUP(K83,List!$B$1:$D$10,3,0)</f>
        <v>Balance</v>
      </c>
      <c r="N83" s="1" t="str">
        <f t="shared" si="4"/>
        <v>15</v>
      </c>
      <c r="O83" s="1" t="str">
        <f>VLOOKUP(N83,List!$F$1:$G$36,2,0)</f>
        <v xml:space="preserve">Propiedad Planta Y Equipo</v>
      </c>
      <c r="P83" s="1" t="str">
        <f t="shared" si="5"/>
        <v>1524</v>
      </c>
      <c r="Q83" s="1" t="str">
        <f>VLOOKUP(P83,PUC!$A$7:$B$869,2,0)</f>
        <v xml:space="preserve">Equipo de oficina</v>
      </c>
      <c r="R83" s="6" t="s">
        <v>1422</v>
      </c>
      <c r="S83" s="6" t="str">
        <f>VLOOKUP(N83,List!$F:$H,3,0)</f>
        <v xml:space="preserve">Largo Termino</v>
      </c>
    </row>
    <row r="84">
      <c r="A84" s="1">
        <v>137</v>
      </c>
      <c r="B84" s="3" t="s">
        <v>268</v>
      </c>
      <c r="C84" s="3" t="s">
        <v>269</v>
      </c>
      <c r="D84" s="3" t="s">
        <v>247</v>
      </c>
      <c r="E84" s="3" t="s">
        <v>10</v>
      </c>
      <c r="F84" s="3" t="s">
        <v>21</v>
      </c>
      <c r="G84" s="3" t="s">
        <v>22</v>
      </c>
      <c r="H84" s="3" t="s">
        <v>24</v>
      </c>
      <c r="I84" s="3" t="s">
        <v>24</v>
      </c>
      <c r="J84" s="3" t="s">
        <v>25</v>
      </c>
      <c r="K84" s="1">
        <f t="shared" si="3"/>
        <v>1</v>
      </c>
      <c r="L84" s="1" t="str">
        <f>VLOOKUP(K84,List!$B$1:$D$10,2,0)</f>
        <v>Activo</v>
      </c>
      <c r="M84" s="1" t="str">
        <f>VLOOKUP(K84,List!$B$1:$D$10,3,0)</f>
        <v>Balance</v>
      </c>
      <c r="N84" s="1" t="str">
        <f t="shared" si="4"/>
        <v>15</v>
      </c>
      <c r="O84" s="1" t="str">
        <f>VLOOKUP(N84,List!$F$1:$G$36,2,0)</f>
        <v xml:space="preserve">Propiedad Planta Y Equipo</v>
      </c>
      <c r="P84" s="1" t="str">
        <f t="shared" si="5"/>
        <v>1524</v>
      </c>
      <c r="Q84" s="1" t="str">
        <f>VLOOKUP(P84,PUC!$A$7:$B$869,2,0)</f>
        <v xml:space="preserve">Equipo de oficina</v>
      </c>
      <c r="R84" s="6" t="s">
        <v>1422</v>
      </c>
      <c r="S84" s="6" t="str">
        <f>VLOOKUP(N84,List!$F:$H,3,0)</f>
        <v xml:space="preserve">Largo Termino</v>
      </c>
    </row>
    <row r="85">
      <c r="A85" s="1">
        <v>139</v>
      </c>
      <c r="B85" s="3" t="s">
        <v>272</v>
      </c>
      <c r="C85" s="3" t="s">
        <v>271</v>
      </c>
      <c r="D85" s="3" t="s">
        <v>247</v>
      </c>
      <c r="E85" s="3" t="s">
        <v>10</v>
      </c>
      <c r="F85" s="3" t="s">
        <v>21</v>
      </c>
      <c r="G85" s="3" t="s">
        <v>22</v>
      </c>
      <c r="H85" s="3" t="s">
        <v>23</v>
      </c>
      <c r="I85" s="3" t="s">
        <v>24</v>
      </c>
      <c r="J85" s="3" t="s">
        <v>25</v>
      </c>
      <c r="K85" s="1">
        <f t="shared" si="3"/>
        <v>1</v>
      </c>
      <c r="L85" s="1" t="str">
        <f>VLOOKUP(K85,List!$B$1:$D$10,2,0)</f>
        <v>Activo</v>
      </c>
      <c r="M85" s="1" t="str">
        <f>VLOOKUP(K85,List!$B$1:$D$10,3,0)</f>
        <v>Balance</v>
      </c>
      <c r="N85" s="1" t="str">
        <f t="shared" si="4"/>
        <v>15</v>
      </c>
      <c r="O85" s="1" t="str">
        <f>VLOOKUP(N85,List!$F$1:$G$36,2,0)</f>
        <v xml:space="preserve">Propiedad Planta Y Equipo</v>
      </c>
      <c r="P85" s="1" t="str">
        <f t="shared" si="5"/>
        <v>1524</v>
      </c>
      <c r="Q85" s="1" t="str">
        <f>VLOOKUP(P85,PUC!$A$7:$B$869,2,0)</f>
        <v xml:space="preserve">Equipo de oficina</v>
      </c>
      <c r="R85" s="6" t="s">
        <v>1422</v>
      </c>
      <c r="S85" s="6" t="str">
        <f>VLOOKUP(N85,List!$F:$H,3,0)</f>
        <v xml:space="preserve">Largo Termino</v>
      </c>
    </row>
    <row r="86">
      <c r="A86" s="1">
        <v>140</v>
      </c>
      <c r="B86" s="3" t="s">
        <v>273</v>
      </c>
      <c r="C86" s="3" t="s">
        <v>274</v>
      </c>
      <c r="D86" s="3" t="s">
        <v>247</v>
      </c>
      <c r="E86" s="3" t="s">
        <v>10</v>
      </c>
      <c r="F86" s="3" t="s">
        <v>21</v>
      </c>
      <c r="G86" s="3" t="s">
        <v>22</v>
      </c>
      <c r="H86" s="3" t="s">
        <v>24</v>
      </c>
      <c r="I86" s="3" t="s">
        <v>24</v>
      </c>
      <c r="J86" s="3" t="s">
        <v>25</v>
      </c>
      <c r="K86" s="1">
        <f t="shared" si="3"/>
        <v>1</v>
      </c>
      <c r="L86" s="1" t="str">
        <f>VLOOKUP(K86,List!$B$1:$D$10,2,0)</f>
        <v>Activo</v>
      </c>
      <c r="M86" s="1" t="str">
        <f>VLOOKUP(K86,List!$B$1:$D$10,3,0)</f>
        <v>Balance</v>
      </c>
      <c r="N86" s="1" t="str">
        <f t="shared" si="4"/>
        <v>15</v>
      </c>
      <c r="O86" s="1" t="str">
        <f>VLOOKUP(N86,List!$F$1:$G$36,2,0)</f>
        <v xml:space="preserve">Propiedad Planta Y Equipo</v>
      </c>
      <c r="P86" s="1" t="str">
        <f t="shared" si="5"/>
        <v>1524</v>
      </c>
      <c r="Q86" s="1" t="str">
        <f>VLOOKUP(P86,PUC!$A$7:$B$869,2,0)</f>
        <v xml:space="preserve">Equipo de oficina</v>
      </c>
      <c r="R86" s="6" t="s">
        <v>1422</v>
      </c>
      <c r="S86" s="6" t="str">
        <f>VLOOKUP(N86,List!$F:$H,3,0)</f>
        <v xml:space="preserve">Largo Termino</v>
      </c>
    </row>
    <row r="87">
      <c r="A87" s="1">
        <v>143</v>
      </c>
      <c r="B87" s="3" t="s">
        <v>279</v>
      </c>
      <c r="C87" s="3" t="s">
        <v>278</v>
      </c>
      <c r="D87" s="3" t="s">
        <v>247</v>
      </c>
      <c r="E87" s="3" t="s">
        <v>10</v>
      </c>
      <c r="F87" s="3" t="s">
        <v>267</v>
      </c>
      <c r="G87" s="3" t="s">
        <v>22</v>
      </c>
      <c r="H87" s="3" t="s">
        <v>23</v>
      </c>
      <c r="I87" s="3" t="s">
        <v>24</v>
      </c>
      <c r="J87" s="3" t="s">
        <v>25</v>
      </c>
      <c r="K87" s="1">
        <f t="shared" si="3"/>
        <v>1</v>
      </c>
      <c r="L87" s="1" t="str">
        <f>VLOOKUP(K87,List!$B$1:$D$10,2,0)</f>
        <v>Activo</v>
      </c>
      <c r="M87" s="1" t="str">
        <f>VLOOKUP(K87,List!$B$1:$D$10,3,0)</f>
        <v>Balance</v>
      </c>
      <c r="N87" s="1" t="str">
        <f t="shared" si="4"/>
        <v>15</v>
      </c>
      <c r="O87" s="1" t="str">
        <f>VLOOKUP(N87,List!$F$1:$G$36,2,0)</f>
        <v xml:space="preserve">Propiedad Planta Y Equipo</v>
      </c>
      <c r="P87" s="1" t="str">
        <f t="shared" si="5"/>
        <v>1528</v>
      </c>
      <c r="Q87" s="1" t="str">
        <f>VLOOKUP(P87,PUC!$A$7:$B$869,2,0)</f>
        <v xml:space="preserve">Equipo de computación y comunicación</v>
      </c>
      <c r="R87" s="6" t="s">
        <v>1422</v>
      </c>
      <c r="S87" s="6" t="str">
        <f>VLOOKUP(N87,List!$F:$H,3,0)</f>
        <v xml:space="preserve">Largo Termino</v>
      </c>
    </row>
    <row r="88">
      <c r="A88" s="1">
        <v>144</v>
      </c>
      <c r="B88" s="3" t="s">
        <v>280</v>
      </c>
      <c r="C88" s="3" t="s">
        <v>281</v>
      </c>
      <c r="D88" s="3" t="s">
        <v>247</v>
      </c>
      <c r="E88" s="3" t="s">
        <v>10</v>
      </c>
      <c r="F88" s="3" t="s">
        <v>21</v>
      </c>
      <c r="G88" s="3" t="s">
        <v>22</v>
      </c>
      <c r="H88" s="3" t="s">
        <v>24</v>
      </c>
      <c r="I88" s="3" t="s">
        <v>24</v>
      </c>
      <c r="J88" s="3" t="s">
        <v>25</v>
      </c>
      <c r="K88" s="1">
        <f t="shared" si="3"/>
        <v>1</v>
      </c>
      <c r="L88" s="1" t="str">
        <f>VLOOKUP(K88,List!$B$1:$D$10,2,0)</f>
        <v>Activo</v>
      </c>
      <c r="M88" s="1" t="str">
        <f>VLOOKUP(K88,List!$B$1:$D$10,3,0)</f>
        <v>Balance</v>
      </c>
      <c r="N88" s="1" t="str">
        <f t="shared" si="4"/>
        <v>15</v>
      </c>
      <c r="O88" s="1" t="str">
        <f>VLOOKUP(N88,List!$F$1:$G$36,2,0)</f>
        <v xml:space="preserve">Propiedad Planta Y Equipo</v>
      </c>
      <c r="P88" s="1" t="str">
        <f t="shared" si="5"/>
        <v>1528</v>
      </c>
      <c r="Q88" s="1" t="str">
        <f>VLOOKUP(P88,PUC!$A$7:$B$869,2,0)</f>
        <v xml:space="preserve">Equipo de computación y comunicación</v>
      </c>
      <c r="R88" s="6" t="s">
        <v>1422</v>
      </c>
      <c r="S88" s="6" t="str">
        <f>VLOOKUP(N88,List!$F:$H,3,0)</f>
        <v xml:space="preserve">Largo Termino</v>
      </c>
    </row>
    <row r="89">
      <c r="A89" s="1">
        <v>147</v>
      </c>
      <c r="B89" s="3" t="s">
        <v>286</v>
      </c>
      <c r="C89" s="3" t="s">
        <v>285</v>
      </c>
      <c r="D89" s="3" t="s">
        <v>247</v>
      </c>
      <c r="E89" s="3" t="s">
        <v>10</v>
      </c>
      <c r="F89" s="3" t="s">
        <v>267</v>
      </c>
      <c r="G89" s="3" t="s">
        <v>22</v>
      </c>
      <c r="H89" s="3" t="s">
        <v>23</v>
      </c>
      <c r="I89" s="3" t="s">
        <v>24</v>
      </c>
      <c r="J89" s="3" t="s">
        <v>25</v>
      </c>
      <c r="K89" s="1">
        <f t="shared" si="3"/>
        <v>1</v>
      </c>
      <c r="L89" s="1" t="str">
        <f>VLOOKUP(K89,List!$B$1:$D$10,2,0)</f>
        <v>Activo</v>
      </c>
      <c r="M89" s="1" t="str">
        <f>VLOOKUP(K89,List!$B$1:$D$10,3,0)</f>
        <v>Balance</v>
      </c>
      <c r="N89" s="1" t="str">
        <f t="shared" si="4"/>
        <v>15</v>
      </c>
      <c r="O89" s="1" t="str">
        <f>VLOOKUP(N89,List!$F$1:$G$36,2,0)</f>
        <v xml:space="preserve">Propiedad Planta Y Equipo</v>
      </c>
      <c r="P89" s="1" t="str">
        <f t="shared" si="5"/>
        <v>1540</v>
      </c>
      <c r="Q89" s="1" t="str">
        <f>VLOOKUP(P89,PUC!$A$7:$B$869,2,0)</f>
        <v xml:space="preserve">Flota y equipo de transporte</v>
      </c>
      <c r="R89" s="6" t="s">
        <v>1422</v>
      </c>
      <c r="S89" s="6" t="str">
        <f>VLOOKUP(N89,List!$F:$H,3,0)</f>
        <v xml:space="preserve">Largo Termino</v>
      </c>
    </row>
    <row r="90">
      <c r="A90" s="1">
        <v>148</v>
      </c>
      <c r="B90" s="3" t="s">
        <v>287</v>
      </c>
      <c r="C90" s="3" t="s">
        <v>288</v>
      </c>
      <c r="D90" s="3" t="s">
        <v>247</v>
      </c>
      <c r="E90" s="3" t="s">
        <v>10</v>
      </c>
      <c r="F90" s="3" t="s">
        <v>21</v>
      </c>
      <c r="G90" s="3" t="s">
        <v>22</v>
      </c>
      <c r="H90" s="3" t="s">
        <v>24</v>
      </c>
      <c r="I90" s="3" t="s">
        <v>24</v>
      </c>
      <c r="J90" s="3" t="s">
        <v>25</v>
      </c>
      <c r="K90" s="1">
        <f t="shared" si="3"/>
        <v>1</v>
      </c>
      <c r="L90" s="1" t="str">
        <f>VLOOKUP(K90,List!$B$1:$D$10,2,0)</f>
        <v>Activo</v>
      </c>
      <c r="M90" s="1" t="str">
        <f>VLOOKUP(K90,List!$B$1:$D$10,3,0)</f>
        <v>Balance</v>
      </c>
      <c r="N90" s="1" t="str">
        <f t="shared" si="4"/>
        <v>15</v>
      </c>
      <c r="O90" s="1" t="str">
        <f>VLOOKUP(N90,List!$F$1:$G$36,2,0)</f>
        <v xml:space="preserve">Propiedad Planta Y Equipo</v>
      </c>
      <c r="P90" s="1" t="str">
        <f t="shared" si="5"/>
        <v>1540</v>
      </c>
      <c r="Q90" s="1" t="str">
        <f>VLOOKUP(P90,PUC!$A$7:$B$869,2,0)</f>
        <v xml:space="preserve">Flota y equipo de transporte</v>
      </c>
      <c r="R90" s="6" t="s">
        <v>1422</v>
      </c>
      <c r="S90" s="6" t="str">
        <f>VLOOKUP(N90,List!$F:$H,3,0)</f>
        <v xml:space="preserve">Largo Termino</v>
      </c>
    </row>
    <row r="91">
      <c r="A91" s="1">
        <v>151</v>
      </c>
      <c r="B91" s="3" t="s">
        <v>292</v>
      </c>
      <c r="C91" s="3" t="s">
        <v>251</v>
      </c>
      <c r="D91" s="3" t="s">
        <v>247</v>
      </c>
      <c r="E91" s="3" t="s">
        <v>10</v>
      </c>
      <c r="F91" s="3" t="s">
        <v>21</v>
      </c>
      <c r="G91" s="3" t="s">
        <v>22</v>
      </c>
      <c r="H91" s="3" t="s">
        <v>23</v>
      </c>
      <c r="I91" s="3" t="s">
        <v>24</v>
      </c>
      <c r="J91" s="3" t="s">
        <v>25</v>
      </c>
      <c r="K91" s="1">
        <f t="shared" si="3"/>
        <v>1</v>
      </c>
      <c r="L91" s="1" t="str">
        <f>VLOOKUP(K91,List!$B$1:$D$10,2,0)</f>
        <v>Activo</v>
      </c>
      <c r="M91" s="1" t="str">
        <f>VLOOKUP(K91,List!$B$1:$D$10,3,0)</f>
        <v>Balance</v>
      </c>
      <c r="N91" s="1" t="str">
        <f t="shared" si="4"/>
        <v>15</v>
      </c>
      <c r="O91" s="1" t="str">
        <f>VLOOKUP(N91,List!$F$1:$G$36,2,0)</f>
        <v xml:space="preserve">Propiedad Planta Y Equipo</v>
      </c>
      <c r="P91" s="1" t="str">
        <f t="shared" si="5"/>
        <v>1592</v>
      </c>
      <c r="Q91" s="1" t="str">
        <f>VLOOKUP(P91,PUC!$A$7:$B$869,2,0)</f>
        <v xml:space="preserve">Depreciación acumulada</v>
      </c>
      <c r="R91" s="6" t="s">
        <v>1422</v>
      </c>
      <c r="S91" s="6" t="str">
        <f>VLOOKUP(N91,List!$F:$H,3,0)</f>
        <v xml:space="preserve">Largo Termino</v>
      </c>
    </row>
    <row r="92">
      <c r="A92" s="1">
        <v>152</v>
      </c>
      <c r="B92" s="3" t="s">
        <v>293</v>
      </c>
      <c r="C92" s="3" t="s">
        <v>294</v>
      </c>
      <c r="D92" s="3" t="s">
        <v>247</v>
      </c>
      <c r="E92" s="3" t="s">
        <v>10</v>
      </c>
      <c r="F92" s="3" t="s">
        <v>21</v>
      </c>
      <c r="G92" s="3" t="s">
        <v>22</v>
      </c>
      <c r="H92" s="3" t="s">
        <v>24</v>
      </c>
      <c r="I92" s="3" t="s">
        <v>24</v>
      </c>
      <c r="J92" s="3" t="s">
        <v>25</v>
      </c>
      <c r="K92" s="1">
        <f t="shared" si="3"/>
        <v>1</v>
      </c>
      <c r="L92" s="1" t="str">
        <f>VLOOKUP(K92,List!$B$1:$D$10,2,0)</f>
        <v>Activo</v>
      </c>
      <c r="M92" s="1" t="str">
        <f>VLOOKUP(K92,List!$B$1:$D$10,3,0)</f>
        <v>Balance</v>
      </c>
      <c r="N92" s="1" t="str">
        <f t="shared" si="4"/>
        <v>15</v>
      </c>
      <c r="O92" s="1" t="str">
        <f>VLOOKUP(N92,List!$F$1:$G$36,2,0)</f>
        <v xml:space="preserve">Propiedad Planta Y Equipo</v>
      </c>
      <c r="P92" s="1" t="str">
        <f t="shared" si="5"/>
        <v>1592</v>
      </c>
      <c r="Q92" s="1" t="str">
        <f>VLOOKUP(P92,PUC!$A$7:$B$869,2,0)</f>
        <v xml:space="preserve">Depreciación acumulada</v>
      </c>
      <c r="R92" s="6" t="s">
        <v>1422</v>
      </c>
      <c r="S92" s="6" t="str">
        <f>VLOOKUP(N92,List!$F:$H,3,0)</f>
        <v xml:space="preserve">Largo Termino</v>
      </c>
    </row>
    <row r="93">
      <c r="A93" s="1">
        <v>154</v>
      </c>
      <c r="B93" s="3" t="s">
        <v>296</v>
      </c>
      <c r="C93" s="3" t="s">
        <v>263</v>
      </c>
      <c r="D93" s="3" t="s">
        <v>247</v>
      </c>
      <c r="E93" s="3" t="s">
        <v>10</v>
      </c>
      <c r="F93" s="3" t="s">
        <v>297</v>
      </c>
      <c r="G93" s="3" t="s">
        <v>22</v>
      </c>
      <c r="H93" s="3" t="s">
        <v>23</v>
      </c>
      <c r="I93" s="3" t="s">
        <v>24</v>
      </c>
      <c r="J93" s="3" t="s">
        <v>25</v>
      </c>
      <c r="K93" s="1">
        <f t="shared" si="3"/>
        <v>1</v>
      </c>
      <c r="L93" s="1" t="str">
        <f>VLOOKUP(K93,List!$B$1:$D$10,2,0)</f>
        <v>Activo</v>
      </c>
      <c r="M93" s="1" t="str">
        <f>VLOOKUP(K93,List!$B$1:$D$10,3,0)</f>
        <v>Balance</v>
      </c>
      <c r="N93" s="1" t="str">
        <f t="shared" si="4"/>
        <v>15</v>
      </c>
      <c r="O93" s="1" t="str">
        <f>VLOOKUP(N93,List!$F$1:$G$36,2,0)</f>
        <v xml:space="preserve">Propiedad Planta Y Equipo</v>
      </c>
      <c r="P93" s="1" t="str">
        <f t="shared" si="5"/>
        <v>1592</v>
      </c>
      <c r="Q93" s="1" t="str">
        <f>VLOOKUP(P93,PUC!$A$7:$B$869,2,0)</f>
        <v xml:space="preserve">Depreciación acumulada</v>
      </c>
      <c r="R93" s="6" t="s">
        <v>1422</v>
      </c>
      <c r="S93" s="6" t="str">
        <f>VLOOKUP(N93,List!$F:$H,3,0)</f>
        <v xml:space="preserve">Largo Termino</v>
      </c>
    </row>
    <row r="94">
      <c r="A94" s="1">
        <v>155</v>
      </c>
      <c r="B94" s="3" t="s">
        <v>298</v>
      </c>
      <c r="C94" s="3" t="s">
        <v>299</v>
      </c>
      <c r="D94" s="3" t="s">
        <v>247</v>
      </c>
      <c r="E94" s="3" t="s">
        <v>10</v>
      </c>
      <c r="F94" s="3" t="s">
        <v>300</v>
      </c>
      <c r="G94" s="3" t="s">
        <v>22</v>
      </c>
      <c r="H94" s="3" t="s">
        <v>24</v>
      </c>
      <c r="I94" s="3" t="s">
        <v>24</v>
      </c>
      <c r="J94" s="3" t="s">
        <v>25</v>
      </c>
      <c r="K94" s="1">
        <f t="shared" si="3"/>
        <v>1</v>
      </c>
      <c r="L94" s="1" t="str">
        <f>VLOOKUP(K94,List!$B$1:$D$10,2,0)</f>
        <v>Activo</v>
      </c>
      <c r="M94" s="1" t="str">
        <f>VLOOKUP(K94,List!$B$1:$D$10,3,0)</f>
        <v>Balance</v>
      </c>
      <c r="N94" s="1" t="str">
        <f t="shared" si="4"/>
        <v>15</v>
      </c>
      <c r="O94" s="1" t="str">
        <f>VLOOKUP(N94,List!$F$1:$G$36,2,0)</f>
        <v xml:space="preserve">Propiedad Planta Y Equipo</v>
      </c>
      <c r="P94" s="1" t="str">
        <f t="shared" si="5"/>
        <v>1592</v>
      </c>
      <c r="Q94" s="1" t="str">
        <f>VLOOKUP(P94,PUC!$A$7:$B$869,2,0)</f>
        <v xml:space="preserve">Depreciación acumulada</v>
      </c>
      <c r="R94" s="6" t="s">
        <v>1422</v>
      </c>
      <c r="S94" s="6" t="str">
        <f>VLOOKUP(N94,List!$F:$H,3,0)</f>
        <v xml:space="preserve">Largo Termino</v>
      </c>
    </row>
    <row r="95">
      <c r="A95" s="1">
        <v>157</v>
      </c>
      <c r="B95" s="3" t="s">
        <v>302</v>
      </c>
      <c r="C95" s="3" t="s">
        <v>276</v>
      </c>
      <c r="D95" s="3" t="s">
        <v>247</v>
      </c>
      <c r="E95" s="3" t="s">
        <v>10</v>
      </c>
      <c r="F95" s="3" t="s">
        <v>297</v>
      </c>
      <c r="G95" s="3" t="s">
        <v>22</v>
      </c>
      <c r="H95" s="3" t="s">
        <v>23</v>
      </c>
      <c r="I95" s="3" t="s">
        <v>24</v>
      </c>
      <c r="J95" s="3" t="s">
        <v>25</v>
      </c>
      <c r="K95" s="1">
        <f t="shared" si="3"/>
        <v>1</v>
      </c>
      <c r="L95" s="1" t="str">
        <f>VLOOKUP(K95,List!$B$1:$D$10,2,0)</f>
        <v>Activo</v>
      </c>
      <c r="M95" s="1" t="str">
        <f>VLOOKUP(K95,List!$B$1:$D$10,3,0)</f>
        <v>Balance</v>
      </c>
      <c r="N95" s="1" t="str">
        <f t="shared" si="4"/>
        <v>15</v>
      </c>
      <c r="O95" s="1" t="str">
        <f>VLOOKUP(N95,List!$F$1:$G$36,2,0)</f>
        <v xml:space="preserve">Propiedad Planta Y Equipo</v>
      </c>
      <c r="P95" s="1" t="str">
        <f t="shared" si="5"/>
        <v>1592</v>
      </c>
      <c r="Q95" s="1" t="str">
        <f>VLOOKUP(P95,PUC!$A$7:$B$869,2,0)</f>
        <v xml:space="preserve">Depreciación acumulada</v>
      </c>
      <c r="R95" s="6" t="s">
        <v>1422</v>
      </c>
      <c r="S95" s="6" t="str">
        <f>VLOOKUP(N95,List!$F:$H,3,0)</f>
        <v xml:space="preserve">Largo Termino</v>
      </c>
    </row>
    <row r="96">
      <c r="A96" s="1">
        <v>158</v>
      </c>
      <c r="B96" s="3" t="s">
        <v>303</v>
      </c>
      <c r="C96" s="3" t="s">
        <v>304</v>
      </c>
      <c r="D96" s="3" t="s">
        <v>247</v>
      </c>
      <c r="E96" s="3" t="s">
        <v>10</v>
      </c>
      <c r="F96" s="3" t="s">
        <v>300</v>
      </c>
      <c r="G96" s="3" t="s">
        <v>22</v>
      </c>
      <c r="H96" s="3" t="s">
        <v>24</v>
      </c>
      <c r="I96" s="3" t="s">
        <v>24</v>
      </c>
      <c r="J96" s="3" t="s">
        <v>25</v>
      </c>
      <c r="K96" s="1">
        <f t="shared" si="3"/>
        <v>1</v>
      </c>
      <c r="L96" s="1" t="str">
        <f>VLOOKUP(K96,List!$B$1:$D$10,2,0)</f>
        <v>Activo</v>
      </c>
      <c r="M96" s="1" t="str">
        <f>VLOOKUP(K96,List!$B$1:$D$10,3,0)</f>
        <v>Balance</v>
      </c>
      <c r="N96" s="1" t="str">
        <f t="shared" si="4"/>
        <v>15</v>
      </c>
      <c r="O96" s="1" t="str">
        <f>VLOOKUP(N96,List!$F$1:$G$36,2,0)</f>
        <v xml:space="preserve">Propiedad Planta Y Equipo</v>
      </c>
      <c r="P96" s="1" t="str">
        <f t="shared" si="5"/>
        <v>1592</v>
      </c>
      <c r="Q96" s="1" t="str">
        <f>VLOOKUP(P96,PUC!$A$7:$B$869,2,0)</f>
        <v xml:space="preserve">Depreciación acumulada</v>
      </c>
      <c r="R96" s="6" t="s">
        <v>1422</v>
      </c>
      <c r="S96" s="6" t="str">
        <f>VLOOKUP(N96,List!$F:$H,3,0)</f>
        <v xml:space="preserve">Largo Termino</v>
      </c>
    </row>
    <row r="97">
      <c r="A97" s="1">
        <v>160</v>
      </c>
      <c r="B97" s="3" t="s">
        <v>306</v>
      </c>
      <c r="C97" s="3" t="s">
        <v>283</v>
      </c>
      <c r="D97" s="3" t="s">
        <v>247</v>
      </c>
      <c r="E97" s="3" t="s">
        <v>10</v>
      </c>
      <c r="F97" s="3" t="s">
        <v>297</v>
      </c>
      <c r="G97" s="3" t="s">
        <v>22</v>
      </c>
      <c r="H97" s="3" t="s">
        <v>23</v>
      </c>
      <c r="I97" s="3" t="s">
        <v>24</v>
      </c>
      <c r="J97" s="3" t="s">
        <v>25</v>
      </c>
      <c r="K97" s="1">
        <f t="shared" si="3"/>
        <v>1</v>
      </c>
      <c r="L97" s="1" t="str">
        <f>VLOOKUP(K97,List!$B$1:$D$10,2,0)</f>
        <v>Activo</v>
      </c>
      <c r="M97" s="1" t="str">
        <f>VLOOKUP(K97,List!$B$1:$D$10,3,0)</f>
        <v>Balance</v>
      </c>
      <c r="N97" s="1" t="str">
        <f t="shared" si="4"/>
        <v>15</v>
      </c>
      <c r="O97" s="1" t="str">
        <f>VLOOKUP(N97,List!$F$1:$G$36,2,0)</f>
        <v xml:space="preserve">Propiedad Planta Y Equipo</v>
      </c>
      <c r="P97" s="1" t="str">
        <f t="shared" si="5"/>
        <v>1592</v>
      </c>
      <c r="Q97" s="1" t="str">
        <f>VLOOKUP(P97,PUC!$A$7:$B$869,2,0)</f>
        <v xml:space="preserve">Depreciación acumulada</v>
      </c>
      <c r="R97" s="6" t="s">
        <v>1422</v>
      </c>
      <c r="S97" s="6" t="str">
        <f>VLOOKUP(N97,List!$F:$H,3,0)</f>
        <v xml:space="preserve">Largo Termino</v>
      </c>
    </row>
    <row r="98">
      <c r="A98" s="1">
        <v>161</v>
      </c>
      <c r="B98" s="3" t="s">
        <v>307</v>
      </c>
      <c r="C98" s="3" t="s">
        <v>308</v>
      </c>
      <c r="D98" s="3" t="s">
        <v>247</v>
      </c>
      <c r="E98" s="3" t="s">
        <v>10</v>
      </c>
      <c r="F98" s="3" t="s">
        <v>300</v>
      </c>
      <c r="G98" s="3" t="s">
        <v>22</v>
      </c>
      <c r="H98" s="3" t="s">
        <v>24</v>
      </c>
      <c r="I98" s="3" t="s">
        <v>24</v>
      </c>
      <c r="J98" s="3" t="s">
        <v>25</v>
      </c>
      <c r="K98" s="1">
        <f t="shared" si="3"/>
        <v>1</v>
      </c>
      <c r="L98" s="1" t="str">
        <f>VLOOKUP(K98,List!$B$1:$D$10,2,0)</f>
        <v>Activo</v>
      </c>
      <c r="M98" s="1" t="str">
        <f>VLOOKUP(K98,List!$B$1:$D$10,3,0)</f>
        <v>Balance</v>
      </c>
      <c r="N98" s="1" t="str">
        <f t="shared" si="4"/>
        <v>15</v>
      </c>
      <c r="O98" s="1" t="str">
        <f>VLOOKUP(N98,List!$F$1:$G$36,2,0)</f>
        <v xml:space="preserve">Propiedad Planta Y Equipo</v>
      </c>
      <c r="P98" s="1" t="str">
        <f t="shared" si="5"/>
        <v>1592</v>
      </c>
      <c r="Q98" s="1" t="str">
        <f>VLOOKUP(P98,PUC!$A$7:$B$869,2,0)</f>
        <v xml:space="preserve">Depreciación acumulada</v>
      </c>
      <c r="R98" s="6" t="s">
        <v>1422</v>
      </c>
      <c r="S98" s="6" t="str">
        <f>VLOOKUP(N98,List!$F:$H,3,0)</f>
        <v xml:space="preserve">Largo Termino</v>
      </c>
    </row>
    <row r="99">
      <c r="A99" s="1">
        <v>165</v>
      </c>
      <c r="B99" s="3" t="s">
        <v>315</v>
      </c>
      <c r="C99" s="3" t="s">
        <v>314</v>
      </c>
      <c r="D99" s="3" t="s">
        <v>62</v>
      </c>
      <c r="E99" s="3" t="s">
        <v>10</v>
      </c>
      <c r="F99" s="3" t="s">
        <v>21</v>
      </c>
      <c r="G99" s="3" t="s">
        <v>22</v>
      </c>
      <c r="H99" s="3" t="s">
        <v>23</v>
      </c>
      <c r="I99" s="3" t="s">
        <v>24</v>
      </c>
      <c r="J99" s="3" t="s">
        <v>25</v>
      </c>
      <c r="K99" s="1">
        <f t="shared" si="3"/>
        <v>1</v>
      </c>
      <c r="L99" s="1" t="str">
        <f>VLOOKUP(K99,List!$B$1:$D$10,2,0)</f>
        <v>Activo</v>
      </c>
      <c r="M99" s="1" t="str">
        <f>VLOOKUP(K99,List!$B$1:$D$10,3,0)</f>
        <v>Balance</v>
      </c>
      <c r="N99" s="1" t="str">
        <f t="shared" si="4"/>
        <v>16</v>
      </c>
      <c r="O99" s="1" t="str">
        <f>VLOOKUP(N99,List!$F$1:$G$36,2,0)</f>
        <v>Intangibles</v>
      </c>
      <c r="P99" s="1" t="str">
        <f t="shared" si="5"/>
        <v>1635</v>
      </c>
      <c r="Q99" s="1" t="str">
        <f>VLOOKUP(P99,PUC!$A$7:$B$869,2,0)</f>
        <v>Licencias</v>
      </c>
      <c r="R99" s="6" t="s">
        <v>1422</v>
      </c>
      <c r="S99" s="6" t="str">
        <f>VLOOKUP(N99,List!$F:$H,3,0)</f>
        <v xml:space="preserve">Largo Termino</v>
      </c>
    </row>
    <row r="100">
      <c r="A100" s="1">
        <v>166</v>
      </c>
      <c r="B100" s="3" t="s">
        <v>316</v>
      </c>
      <c r="C100" s="3" t="s">
        <v>317</v>
      </c>
      <c r="D100" s="3" t="s">
        <v>62</v>
      </c>
      <c r="E100" s="3" t="s">
        <v>10</v>
      </c>
      <c r="F100" s="3" t="s">
        <v>21</v>
      </c>
      <c r="G100" s="3" t="s">
        <v>22</v>
      </c>
      <c r="H100" s="3" t="s">
        <v>24</v>
      </c>
      <c r="I100" s="3" t="s">
        <v>24</v>
      </c>
      <c r="J100" s="3" t="s">
        <v>25</v>
      </c>
      <c r="K100" s="1">
        <f t="shared" si="3"/>
        <v>1</v>
      </c>
      <c r="L100" s="1" t="str">
        <f>VLOOKUP(K100,List!$B$1:$D$10,2,0)</f>
        <v>Activo</v>
      </c>
      <c r="M100" s="1" t="str">
        <f>VLOOKUP(K100,List!$B$1:$D$10,3,0)</f>
        <v>Balance</v>
      </c>
      <c r="N100" s="1" t="str">
        <f t="shared" si="4"/>
        <v>16</v>
      </c>
      <c r="O100" s="1" t="str">
        <f>VLOOKUP(N100,List!$F$1:$G$36,2,0)</f>
        <v>Intangibles</v>
      </c>
      <c r="P100" s="1" t="str">
        <f t="shared" si="5"/>
        <v>1635</v>
      </c>
      <c r="Q100" s="1" t="str">
        <f>VLOOKUP(P100,PUC!$A$7:$B$869,2,0)</f>
        <v>Licencias</v>
      </c>
      <c r="R100" s="6" t="s">
        <v>1422</v>
      </c>
      <c r="S100" s="6" t="str">
        <f>VLOOKUP(N100,List!$F:$H,3,0)</f>
        <v xml:space="preserve">Largo Termino</v>
      </c>
    </row>
    <row r="101">
      <c r="A101" s="1">
        <v>168</v>
      </c>
      <c r="B101" s="3" t="s">
        <v>320</v>
      </c>
      <c r="C101" s="3" t="s">
        <v>319</v>
      </c>
      <c r="D101" s="3" t="s">
        <v>62</v>
      </c>
      <c r="E101" s="3" t="s">
        <v>10</v>
      </c>
      <c r="F101" s="3" t="s">
        <v>21</v>
      </c>
      <c r="G101" s="3" t="s">
        <v>22</v>
      </c>
      <c r="H101" s="3" t="s">
        <v>23</v>
      </c>
      <c r="I101" s="3" t="s">
        <v>24</v>
      </c>
      <c r="J101" s="3" t="s">
        <v>25</v>
      </c>
      <c r="K101" s="1">
        <f t="shared" si="3"/>
        <v>1</v>
      </c>
      <c r="L101" s="1" t="str">
        <f>VLOOKUP(K101,List!$B$1:$D$10,2,0)</f>
        <v>Activo</v>
      </c>
      <c r="M101" s="1" t="str">
        <f>VLOOKUP(K101,List!$B$1:$D$10,3,0)</f>
        <v>Balance</v>
      </c>
      <c r="N101" s="1" t="str">
        <f t="shared" si="4"/>
        <v>16</v>
      </c>
      <c r="O101" s="1" t="str">
        <f>VLOOKUP(N101,List!$F$1:$G$36,2,0)</f>
        <v>Intangibles</v>
      </c>
      <c r="P101" s="1" t="str">
        <f t="shared" si="5"/>
        <v>1635</v>
      </c>
      <c r="Q101" s="1" t="str">
        <f>VLOOKUP(P101,PUC!$A$7:$B$869,2,0)</f>
        <v>Licencias</v>
      </c>
      <c r="R101" s="6" t="s">
        <v>1422</v>
      </c>
      <c r="S101" s="6" t="str">
        <f>VLOOKUP(N101,List!$F:$H,3,0)</f>
        <v xml:space="preserve">Largo Termino</v>
      </c>
    </row>
    <row r="102">
      <c r="A102" s="1">
        <v>169</v>
      </c>
      <c r="B102" s="3" t="s">
        <v>321</v>
      </c>
      <c r="C102" s="3" t="s">
        <v>322</v>
      </c>
      <c r="D102" s="3" t="s">
        <v>62</v>
      </c>
      <c r="E102" s="3" t="s">
        <v>10</v>
      </c>
      <c r="F102" s="3" t="s">
        <v>21</v>
      </c>
      <c r="G102" s="3" t="s">
        <v>22</v>
      </c>
      <c r="H102" s="3" t="s">
        <v>24</v>
      </c>
      <c r="I102" s="3" t="s">
        <v>24</v>
      </c>
      <c r="J102" s="3" t="s">
        <v>25</v>
      </c>
      <c r="K102" s="1">
        <f t="shared" si="3"/>
        <v>1</v>
      </c>
      <c r="L102" s="1" t="str">
        <f>VLOOKUP(K102,List!$B$1:$D$10,2,0)</f>
        <v>Activo</v>
      </c>
      <c r="M102" s="1" t="str">
        <f>VLOOKUP(K102,List!$B$1:$D$10,3,0)</f>
        <v>Balance</v>
      </c>
      <c r="N102" s="1" t="str">
        <f t="shared" si="4"/>
        <v>16</v>
      </c>
      <c r="O102" s="1" t="str">
        <f>VLOOKUP(N102,List!$F$1:$G$36,2,0)</f>
        <v>Intangibles</v>
      </c>
      <c r="P102" s="1" t="str">
        <f t="shared" si="5"/>
        <v>1635</v>
      </c>
      <c r="Q102" s="1" t="str">
        <f>VLOOKUP(P102,PUC!$A$7:$B$869,2,0)</f>
        <v>Licencias</v>
      </c>
      <c r="R102" s="6" t="s">
        <v>1422</v>
      </c>
      <c r="S102" s="6" t="str">
        <f>VLOOKUP(N102,List!$F:$H,3,0)</f>
        <v xml:space="preserve">Largo Termino</v>
      </c>
    </row>
    <row r="103">
      <c r="A103" s="1">
        <v>173</v>
      </c>
      <c r="B103" s="3" t="s">
        <v>329</v>
      </c>
      <c r="C103" s="3" t="s">
        <v>328</v>
      </c>
      <c r="D103" s="3" t="s">
        <v>62</v>
      </c>
      <c r="E103" s="3" t="s">
        <v>10</v>
      </c>
      <c r="F103" s="3" t="s">
        <v>21</v>
      </c>
      <c r="G103" s="3" t="s">
        <v>22</v>
      </c>
      <c r="H103" s="3" t="s">
        <v>23</v>
      </c>
      <c r="I103" s="3" t="s">
        <v>24</v>
      </c>
      <c r="J103" s="3" t="s">
        <v>25</v>
      </c>
      <c r="K103" s="1">
        <f t="shared" si="3"/>
        <v>1</v>
      </c>
      <c r="L103" s="1" t="str">
        <f>VLOOKUP(K103,List!$B$1:$D$10,2,0)</f>
        <v>Activo</v>
      </c>
      <c r="M103" s="1" t="str">
        <f>VLOOKUP(K103,List!$B$1:$D$10,3,0)</f>
        <v>Balance</v>
      </c>
      <c r="N103" s="1" t="str">
        <f t="shared" si="4"/>
        <v>17</v>
      </c>
      <c r="O103" s="1" t="str">
        <f>VLOOKUP(N103,List!$F$1:$G$36,2,0)</f>
        <v xml:space="preserve">Otros Activos No Financieros</v>
      </c>
      <c r="P103" s="1" t="str">
        <f t="shared" si="5"/>
        <v>1720</v>
      </c>
      <c r="Q103" s="1" t="str">
        <f>VLOOKUP(P103,PUC!$A$7:$B$869,2,0)</f>
        <v xml:space="preserve">Entidades controladas en forma conjunta</v>
      </c>
      <c r="R103" s="6" t="s">
        <v>1422</v>
      </c>
      <c r="S103" s="6" t="str">
        <f>VLOOKUP(N103,List!$F:$H,3,0)</f>
        <v xml:space="preserve">Largo Termino</v>
      </c>
    </row>
    <row r="104">
      <c r="A104" s="1">
        <v>177</v>
      </c>
      <c r="B104" s="3" t="s">
        <v>336</v>
      </c>
      <c r="C104" s="3" t="s">
        <v>337</v>
      </c>
      <c r="D104" s="3" t="s">
        <v>62</v>
      </c>
      <c r="E104" s="3" t="s">
        <v>10</v>
      </c>
      <c r="F104" s="3" t="s">
        <v>21</v>
      </c>
      <c r="G104" s="3" t="s">
        <v>22</v>
      </c>
      <c r="H104" s="3" t="s">
        <v>23</v>
      </c>
      <c r="I104" s="3" t="s">
        <v>24</v>
      </c>
      <c r="J104" s="3" t="s">
        <v>25</v>
      </c>
      <c r="K104" s="1">
        <f t="shared" si="3"/>
        <v>1</v>
      </c>
      <c r="L104" s="1" t="str">
        <f>VLOOKUP(K104,List!$B$1:$D$10,2,0)</f>
        <v>Activo</v>
      </c>
      <c r="M104" s="1" t="str">
        <f>VLOOKUP(K104,List!$B$1:$D$10,3,0)</f>
        <v>Balance</v>
      </c>
      <c r="N104" s="1" t="str">
        <f t="shared" si="4"/>
        <v>18</v>
      </c>
      <c r="O104" s="1" t="s">
        <v>333</v>
      </c>
      <c r="P104" s="1" t="str">
        <f t="shared" si="5"/>
        <v>1805</v>
      </c>
      <c r="Q104" s="1" t="str">
        <f>VLOOKUP(P104,PUC!$A$7:$B$869,2,0)</f>
        <v xml:space="preserve">Impuesto corriente</v>
      </c>
      <c r="R104" s="6" t="s">
        <v>1422</v>
      </c>
      <c r="S104" s="6" t="str">
        <f>VLOOKUP(N104,List!$F:$H,3,0)</f>
        <v xml:space="preserve">Corto Termino</v>
      </c>
    </row>
    <row r="105">
      <c r="A105" s="1">
        <v>178</v>
      </c>
      <c r="B105" s="3" t="s">
        <v>338</v>
      </c>
      <c r="C105" s="3" t="s">
        <v>339</v>
      </c>
      <c r="D105" s="3" t="s">
        <v>62</v>
      </c>
      <c r="E105" s="3" t="s">
        <v>10</v>
      </c>
      <c r="F105" s="3" t="s">
        <v>21</v>
      </c>
      <c r="G105" s="3" t="s">
        <v>22</v>
      </c>
      <c r="H105" s="3" t="s">
        <v>23</v>
      </c>
      <c r="I105" s="3" t="s">
        <v>24</v>
      </c>
      <c r="J105" s="3" t="s">
        <v>25</v>
      </c>
      <c r="K105" s="1">
        <f t="shared" si="3"/>
        <v>1</v>
      </c>
      <c r="L105" s="1" t="str">
        <f>VLOOKUP(K105,List!$B$1:$D$10,2,0)</f>
        <v>Activo</v>
      </c>
      <c r="M105" s="1" t="str">
        <f>VLOOKUP(K105,List!$B$1:$D$10,3,0)</f>
        <v>Balance</v>
      </c>
      <c r="N105" s="1" t="str">
        <f t="shared" si="4"/>
        <v>18</v>
      </c>
      <c r="O105" s="1" t="s">
        <v>333</v>
      </c>
      <c r="P105" s="1" t="str">
        <f t="shared" si="5"/>
        <v>1805</v>
      </c>
      <c r="Q105" s="1" t="str">
        <f>VLOOKUP(P105,PUC!$A$7:$B$869,2,0)</f>
        <v xml:space="preserve">Impuesto corriente</v>
      </c>
      <c r="R105" s="6" t="s">
        <v>1422</v>
      </c>
      <c r="S105" s="6" t="str">
        <f>VLOOKUP(N105,List!$F:$H,3,0)</f>
        <v xml:space="preserve">Corto Termino</v>
      </c>
    </row>
    <row r="106">
      <c r="A106" s="1">
        <v>179</v>
      </c>
      <c r="B106" s="3" t="s">
        <v>340</v>
      </c>
      <c r="C106" s="3" t="s">
        <v>341</v>
      </c>
      <c r="D106" s="3" t="s">
        <v>62</v>
      </c>
      <c r="E106" s="3" t="s">
        <v>10</v>
      </c>
      <c r="F106" s="3" t="s">
        <v>21</v>
      </c>
      <c r="G106" s="3" t="s">
        <v>22</v>
      </c>
      <c r="H106" s="3" t="s">
        <v>23</v>
      </c>
      <c r="I106" s="3" t="s">
        <v>24</v>
      </c>
      <c r="J106" s="3" t="s">
        <v>25</v>
      </c>
      <c r="K106" s="1">
        <f t="shared" si="3"/>
        <v>1</v>
      </c>
      <c r="L106" s="1" t="str">
        <f>VLOOKUP(K106,List!$B$1:$D$10,2,0)</f>
        <v>Activo</v>
      </c>
      <c r="M106" s="1" t="str">
        <f>VLOOKUP(K106,List!$B$1:$D$10,3,0)</f>
        <v>Balance</v>
      </c>
      <c r="N106" s="1" t="str">
        <f t="shared" si="4"/>
        <v>18</v>
      </c>
      <c r="O106" s="1" t="s">
        <v>333</v>
      </c>
      <c r="P106" s="1" t="str">
        <f t="shared" si="5"/>
        <v>1805</v>
      </c>
      <c r="Q106" s="1" t="str">
        <f>VLOOKUP(P106,PUC!$A$7:$B$869,2,0)</f>
        <v xml:space="preserve">Impuesto corriente</v>
      </c>
      <c r="R106" s="6" t="s">
        <v>1422</v>
      </c>
      <c r="S106" s="6" t="str">
        <f>VLOOKUP(N106,List!$F:$H,3,0)</f>
        <v xml:space="preserve">Corto Termino</v>
      </c>
    </row>
    <row r="107">
      <c r="A107" s="1">
        <v>180</v>
      </c>
      <c r="B107" s="3" t="s">
        <v>342</v>
      </c>
      <c r="C107" s="3" t="s">
        <v>343</v>
      </c>
      <c r="D107" s="3" t="s">
        <v>62</v>
      </c>
      <c r="E107" s="3" t="s">
        <v>10</v>
      </c>
      <c r="F107" s="3" t="s">
        <v>21</v>
      </c>
      <c r="G107" s="3" t="s">
        <v>22</v>
      </c>
      <c r="H107" s="3" t="s">
        <v>23</v>
      </c>
      <c r="I107" s="3" t="s">
        <v>24</v>
      </c>
      <c r="J107" s="3" t="s">
        <v>25</v>
      </c>
      <c r="K107" s="1">
        <f t="shared" si="3"/>
        <v>1</v>
      </c>
      <c r="L107" s="1" t="str">
        <f>VLOOKUP(K107,List!$B$1:$D$10,2,0)</f>
        <v>Activo</v>
      </c>
      <c r="M107" s="1" t="str">
        <f>VLOOKUP(K107,List!$B$1:$D$10,3,0)</f>
        <v>Balance</v>
      </c>
      <c r="N107" s="1" t="str">
        <f t="shared" si="4"/>
        <v>18</v>
      </c>
      <c r="O107" s="1" t="s">
        <v>333</v>
      </c>
      <c r="P107" s="1" t="str">
        <f t="shared" si="5"/>
        <v>1805</v>
      </c>
      <c r="Q107" s="1" t="str">
        <f>VLOOKUP(P107,PUC!$A$7:$B$869,2,0)</f>
        <v xml:space="preserve">Impuesto corriente</v>
      </c>
      <c r="R107" s="6" t="s">
        <v>1422</v>
      </c>
      <c r="S107" s="6" t="str">
        <f>VLOOKUP(N107,List!$F:$H,3,0)</f>
        <v xml:space="preserve">Corto Termino</v>
      </c>
    </row>
    <row r="108">
      <c r="A108" s="1">
        <v>181</v>
      </c>
      <c r="B108" s="3" t="s">
        <v>344</v>
      </c>
      <c r="C108" s="3" t="s">
        <v>345</v>
      </c>
      <c r="D108" s="3" t="s">
        <v>62</v>
      </c>
      <c r="E108" s="3" t="s">
        <v>10</v>
      </c>
      <c r="F108" s="3" t="s">
        <v>21</v>
      </c>
      <c r="G108" s="3" t="s">
        <v>22</v>
      </c>
      <c r="H108" s="3" t="s">
        <v>23</v>
      </c>
      <c r="I108" s="3" t="s">
        <v>24</v>
      </c>
      <c r="J108" s="3" t="s">
        <v>25</v>
      </c>
      <c r="K108" s="1">
        <f t="shared" si="3"/>
        <v>1</v>
      </c>
      <c r="L108" s="1" t="str">
        <f>VLOOKUP(K108,List!$B$1:$D$10,2,0)</f>
        <v>Activo</v>
      </c>
      <c r="M108" s="1" t="str">
        <f>VLOOKUP(K108,List!$B$1:$D$10,3,0)</f>
        <v>Balance</v>
      </c>
      <c r="N108" s="1" t="str">
        <f t="shared" si="4"/>
        <v>18</v>
      </c>
      <c r="O108" s="1" t="s">
        <v>333</v>
      </c>
      <c r="P108" s="1" t="str">
        <f t="shared" si="5"/>
        <v>1805</v>
      </c>
      <c r="Q108" s="1" t="str">
        <f>VLOOKUP(P108,PUC!$A$7:$B$869,2,0)</f>
        <v xml:space="preserve">Impuesto corriente</v>
      </c>
      <c r="R108" s="6" t="s">
        <v>1422</v>
      </c>
      <c r="S108" s="6" t="str">
        <f>VLOOKUP(N108,List!$F:$H,3,0)</f>
        <v xml:space="preserve">Corto Termino</v>
      </c>
    </row>
    <row r="109">
      <c r="A109" s="1">
        <v>182</v>
      </c>
      <c r="B109" s="3" t="s">
        <v>346</v>
      </c>
      <c r="C109" s="3" t="s">
        <v>347</v>
      </c>
      <c r="D109" s="3" t="s">
        <v>62</v>
      </c>
      <c r="E109" s="3" t="s">
        <v>10</v>
      </c>
      <c r="F109" s="3" t="s">
        <v>21</v>
      </c>
      <c r="G109" s="3" t="s">
        <v>22</v>
      </c>
      <c r="H109" s="3" t="s">
        <v>23</v>
      </c>
      <c r="I109" s="3" t="s">
        <v>24</v>
      </c>
      <c r="J109" s="3" t="s">
        <v>25</v>
      </c>
      <c r="K109" s="1">
        <f t="shared" si="3"/>
        <v>1</v>
      </c>
      <c r="L109" s="1" t="str">
        <f>VLOOKUP(K109,List!$B$1:$D$10,2,0)</f>
        <v>Activo</v>
      </c>
      <c r="M109" s="1" t="str">
        <f>VLOOKUP(K109,List!$B$1:$D$10,3,0)</f>
        <v>Balance</v>
      </c>
      <c r="N109" s="1" t="str">
        <f t="shared" si="4"/>
        <v>18</v>
      </c>
      <c r="O109" s="1" t="s">
        <v>333</v>
      </c>
      <c r="P109" s="1" t="str">
        <f t="shared" si="5"/>
        <v>1805</v>
      </c>
      <c r="Q109" s="1" t="str">
        <f>VLOOKUP(P109,PUC!$A$7:$B$869,2,0)</f>
        <v xml:space="preserve">Impuesto corriente</v>
      </c>
      <c r="R109" s="6" t="s">
        <v>1422</v>
      </c>
      <c r="S109" s="6" t="str">
        <f>VLOOKUP(N109,List!$F:$H,3,0)</f>
        <v xml:space="preserve">Corto Termino</v>
      </c>
    </row>
    <row r="110">
      <c r="A110" s="1">
        <v>183</v>
      </c>
      <c r="B110" s="3" t="s">
        <v>348</v>
      </c>
      <c r="C110" s="3" t="s">
        <v>349</v>
      </c>
      <c r="D110" s="3" t="s">
        <v>62</v>
      </c>
      <c r="E110" s="3" t="s">
        <v>10</v>
      </c>
      <c r="F110" s="3" t="s">
        <v>21</v>
      </c>
      <c r="G110" s="3" t="s">
        <v>22</v>
      </c>
      <c r="H110" s="3" t="s">
        <v>23</v>
      </c>
      <c r="I110" s="3" t="s">
        <v>24</v>
      </c>
      <c r="J110" s="3" t="s">
        <v>25</v>
      </c>
      <c r="K110" s="1">
        <f t="shared" si="3"/>
        <v>1</v>
      </c>
      <c r="L110" s="1" t="str">
        <f>VLOOKUP(K110,List!$B$1:$D$10,2,0)</f>
        <v>Activo</v>
      </c>
      <c r="M110" s="1" t="str">
        <f>VLOOKUP(K110,List!$B$1:$D$10,3,0)</f>
        <v>Balance</v>
      </c>
      <c r="N110" s="1" t="str">
        <f t="shared" si="4"/>
        <v>18</v>
      </c>
      <c r="O110" s="1" t="s">
        <v>333</v>
      </c>
      <c r="P110" s="1" t="str">
        <f t="shared" si="5"/>
        <v>1805</v>
      </c>
      <c r="Q110" s="1" t="str">
        <f>VLOOKUP(P110,PUC!$A$7:$B$869,2,0)</f>
        <v xml:space="preserve">Impuesto corriente</v>
      </c>
      <c r="R110" s="6" t="s">
        <v>1422</v>
      </c>
      <c r="S110" s="6" t="str">
        <f>VLOOKUP(N110,List!$F:$H,3,0)</f>
        <v xml:space="preserve">Corto Termino</v>
      </c>
    </row>
    <row r="111">
      <c r="A111" s="1">
        <v>187</v>
      </c>
      <c r="B111" s="3" t="s">
        <v>355</v>
      </c>
      <c r="C111" s="3" t="s">
        <v>353</v>
      </c>
      <c r="D111" s="3" t="s">
        <v>62</v>
      </c>
      <c r="E111" s="3" t="s">
        <v>10</v>
      </c>
      <c r="F111" s="3" t="s">
        <v>21</v>
      </c>
      <c r="G111" s="3" t="s">
        <v>22</v>
      </c>
      <c r="H111" s="3" t="s">
        <v>23</v>
      </c>
      <c r="I111" s="3" t="s">
        <v>24</v>
      </c>
      <c r="J111" s="3" t="s">
        <v>25</v>
      </c>
      <c r="K111" s="1">
        <f t="shared" si="3"/>
        <v>1</v>
      </c>
      <c r="L111" s="1" t="str">
        <f>VLOOKUP(K111,List!$B$1:$D$10,2,0)</f>
        <v>Activo</v>
      </c>
      <c r="M111" s="1" t="str">
        <f>VLOOKUP(K111,List!$B$1:$D$10,3,0)</f>
        <v>Balance</v>
      </c>
      <c r="N111" s="1" t="str">
        <f t="shared" si="4"/>
        <v>19</v>
      </c>
      <c r="O111" s="1" t="str">
        <f>VLOOKUP(N111,List!$F$1:$G$36,2,0)</f>
        <v xml:space="preserve">Otros Activos Financieros</v>
      </c>
      <c r="P111" s="1" t="str">
        <f t="shared" si="5"/>
        <v>1945</v>
      </c>
      <c r="Q111" s="1" t="str">
        <f>VLOOKUP(P111,PUC!$A$7:$B$869,2,0)</f>
        <v xml:space="preserve">De inversiones</v>
      </c>
      <c r="R111" s="6" t="s">
        <v>1422</v>
      </c>
      <c r="S111" s="6" t="str">
        <f>VLOOKUP(N111,List!$F:$H,3,0)</f>
        <v xml:space="preserve">Corto Termino</v>
      </c>
    </row>
    <row r="112">
      <c r="A112" s="1">
        <v>803</v>
      </c>
      <c r="B112" s="3" t="s">
        <v>1336</v>
      </c>
      <c r="C112" s="3" t="s">
        <v>1337</v>
      </c>
      <c r="D112" s="3" t="s">
        <v>1326</v>
      </c>
      <c r="E112" s="3" t="s">
        <v>1333</v>
      </c>
      <c r="F112" s="3" t="s">
        <v>21</v>
      </c>
      <c r="G112" s="3" t="s">
        <v>22</v>
      </c>
      <c r="H112" s="3" t="s">
        <v>23</v>
      </c>
      <c r="I112" s="3" t="s">
        <v>24</v>
      </c>
      <c r="J112" s="3" t="s">
        <v>25</v>
      </c>
      <c r="K112" s="1">
        <f t="shared" si="3"/>
        <v>7</v>
      </c>
      <c r="L112" s="1" t="str">
        <f>VLOOKUP(K112,List!$B$1:$D$10,2,0)</f>
        <v xml:space="preserve">Costos de Servicios</v>
      </c>
      <c r="M112" s="1" t="str">
        <f>VLOOKUP(K112,List!$B$1:$D$10,3,0)</f>
        <v>Resultado</v>
      </c>
      <c r="N112" s="1" t="str">
        <f t="shared" si="4"/>
        <v>71</v>
      </c>
      <c r="O112" s="1" t="str">
        <f>VLOOKUP(N112,List!$F$1:$G$36,2,0)</f>
        <v xml:space="preserve">Costos De Producción O De Operación</v>
      </c>
      <c r="P112" s="1" t="str">
        <f t="shared" si="5"/>
        <v>7105</v>
      </c>
      <c r="Q112" s="1" t="str">
        <f>VLOOKUP(P112,PUC!$A$7:$B$869,2,0)</f>
        <v xml:space="preserve">Costos de producción o de operación</v>
      </c>
      <c r="R112" t="s">
        <v>1423</v>
      </c>
      <c r="S112" s="6">
        <f>VLOOKUP(N112,List!$F:$H,3,0)</f>
        <v>0</v>
      </c>
    </row>
    <row r="113">
      <c r="A113" s="1">
        <v>807</v>
      </c>
      <c r="B113" s="3" t="s">
        <v>1342</v>
      </c>
      <c r="C113" s="3" t="s">
        <v>833</v>
      </c>
      <c r="D113" s="3" t="s">
        <v>835</v>
      </c>
      <c r="E113" s="3" t="s">
        <v>1333</v>
      </c>
      <c r="F113" s="3" t="s">
        <v>21</v>
      </c>
      <c r="G113" s="3" t="s">
        <v>22</v>
      </c>
      <c r="H113" s="3" t="s">
        <v>23</v>
      </c>
      <c r="I113" s="3" t="s">
        <v>24</v>
      </c>
      <c r="J113" s="3" t="s">
        <v>25</v>
      </c>
      <c r="K113" s="1">
        <f t="shared" si="3"/>
        <v>7</v>
      </c>
      <c r="L113" s="1" t="str">
        <f>VLOOKUP(K113,List!$B$1:$D$10,2,0)</f>
        <v xml:space="preserve">Costos de Servicios</v>
      </c>
      <c r="M113" s="1" t="str">
        <f>VLOOKUP(K113,List!$B$1:$D$10,3,0)</f>
        <v>Resultado</v>
      </c>
      <c r="N113" s="1" t="str">
        <f t="shared" si="4"/>
        <v>72</v>
      </c>
      <c r="O113" s="1" t="str">
        <f>VLOOKUP(N113,List!$F$1:$G$36,2,0)</f>
        <v xml:space="preserve">Mano De Obra Directa</v>
      </c>
      <c r="P113" s="1" t="str">
        <f t="shared" si="5"/>
        <v>7205</v>
      </c>
      <c r="Q113" s="1" t="str">
        <f>VLOOKUP(P113,PUC!$A$7:$B$869,2,0)</f>
        <v xml:space="preserve">Mano de obra directa</v>
      </c>
      <c r="R113" s="6" t="s">
        <v>1423</v>
      </c>
      <c r="S113" s="6">
        <f>VLOOKUP(N113,List!$F:$H,3,0)</f>
        <v>0</v>
      </c>
    </row>
    <row r="114">
      <c r="A114" s="1">
        <v>809</v>
      </c>
      <c r="B114" s="3" t="s">
        <v>1344</v>
      </c>
      <c r="C114" s="3" t="s">
        <v>840</v>
      </c>
      <c r="D114" s="3" t="s">
        <v>835</v>
      </c>
      <c r="E114" s="3" t="s">
        <v>1333</v>
      </c>
      <c r="F114" s="3" t="s">
        <v>21</v>
      </c>
      <c r="G114" s="3" t="s">
        <v>22</v>
      </c>
      <c r="H114" s="3" t="s">
        <v>23</v>
      </c>
      <c r="I114" s="3" t="s">
        <v>24</v>
      </c>
      <c r="J114" s="3" t="s">
        <v>25</v>
      </c>
      <c r="K114" s="1">
        <f t="shared" si="3"/>
        <v>7</v>
      </c>
      <c r="L114" s="1" t="str">
        <f>VLOOKUP(K114,List!$B$1:$D$10,2,0)</f>
        <v xml:space="preserve">Costos de Servicios</v>
      </c>
      <c r="M114" s="1" t="str">
        <f>VLOOKUP(K114,List!$B$1:$D$10,3,0)</f>
        <v>Resultado</v>
      </c>
      <c r="N114" s="1" t="str">
        <f t="shared" si="4"/>
        <v>72</v>
      </c>
      <c r="O114" s="1" t="str">
        <f>VLOOKUP(N114,List!$F$1:$G$36,2,0)</f>
        <v xml:space="preserve">Mano De Obra Directa</v>
      </c>
      <c r="P114" s="1" t="str">
        <f t="shared" si="5"/>
        <v>7205</v>
      </c>
      <c r="Q114" s="1" t="str">
        <f>VLOOKUP(P114,PUC!$A$7:$B$869,2,0)</f>
        <v xml:space="preserve">Mano de obra directa</v>
      </c>
      <c r="R114" s="6" t="s">
        <v>1423</v>
      </c>
      <c r="S114" s="6">
        <f>VLOOKUP(N114,List!$F:$H,3,0)</f>
        <v>0</v>
      </c>
    </row>
    <row r="115">
      <c r="A115" s="1">
        <v>811</v>
      </c>
      <c r="B115" s="3" t="s">
        <v>1346</v>
      </c>
      <c r="C115" s="3" t="s">
        <v>845</v>
      </c>
      <c r="D115" s="3" t="s">
        <v>835</v>
      </c>
      <c r="E115" s="3" t="s">
        <v>1333</v>
      </c>
      <c r="F115" s="3" t="s">
        <v>21</v>
      </c>
      <c r="G115" s="3" t="s">
        <v>22</v>
      </c>
      <c r="H115" s="3" t="s">
        <v>23</v>
      </c>
      <c r="I115" s="3" t="s">
        <v>24</v>
      </c>
      <c r="J115" s="3" t="s">
        <v>25</v>
      </c>
      <c r="K115" s="1">
        <f t="shared" si="3"/>
        <v>7</v>
      </c>
      <c r="L115" s="1" t="str">
        <f>VLOOKUP(K115,List!$B$1:$D$10,2,0)</f>
        <v xml:space="preserve">Costos de Servicios</v>
      </c>
      <c r="M115" s="1" t="str">
        <f>VLOOKUP(K115,List!$B$1:$D$10,3,0)</f>
        <v>Resultado</v>
      </c>
      <c r="N115" s="1" t="str">
        <f t="shared" si="4"/>
        <v>72</v>
      </c>
      <c r="O115" s="1" t="str">
        <f>VLOOKUP(N115,List!$F$1:$G$36,2,0)</f>
        <v xml:space="preserve">Mano De Obra Directa</v>
      </c>
      <c r="P115" s="1" t="str">
        <f t="shared" si="5"/>
        <v>7205</v>
      </c>
      <c r="Q115" s="1" t="str">
        <f>VLOOKUP(P115,PUC!$A$7:$B$869,2,0)</f>
        <v xml:space="preserve">Mano de obra directa</v>
      </c>
      <c r="R115" s="6" t="s">
        <v>1423</v>
      </c>
      <c r="S115" s="6">
        <f>VLOOKUP(N115,List!$F:$H,3,0)</f>
        <v>0</v>
      </c>
    </row>
    <row r="116">
      <c r="A116" s="1">
        <v>813</v>
      </c>
      <c r="B116" s="3" t="s">
        <v>1348</v>
      </c>
      <c r="C116" s="3" t="s">
        <v>850</v>
      </c>
      <c r="D116" s="3" t="s">
        <v>835</v>
      </c>
      <c r="E116" s="3" t="s">
        <v>1333</v>
      </c>
      <c r="F116" s="3" t="s">
        <v>21</v>
      </c>
      <c r="G116" s="3" t="s">
        <v>22</v>
      </c>
      <c r="H116" s="3" t="s">
        <v>23</v>
      </c>
      <c r="I116" s="3" t="s">
        <v>24</v>
      </c>
      <c r="J116" s="3" t="s">
        <v>25</v>
      </c>
      <c r="K116" s="1">
        <f t="shared" si="3"/>
        <v>7</v>
      </c>
      <c r="L116" s="1" t="str">
        <f>VLOOKUP(K116,List!$B$1:$D$10,2,0)</f>
        <v xml:space="preserve">Costos de Servicios</v>
      </c>
      <c r="M116" s="1" t="str">
        <f>VLOOKUP(K116,List!$B$1:$D$10,3,0)</f>
        <v>Resultado</v>
      </c>
      <c r="N116" s="1" t="str">
        <f t="shared" si="4"/>
        <v>72</v>
      </c>
      <c r="O116" s="1" t="str">
        <f>VLOOKUP(N116,List!$F$1:$G$36,2,0)</f>
        <v xml:space="preserve">Mano De Obra Directa</v>
      </c>
      <c r="P116" s="1" t="str">
        <f t="shared" si="5"/>
        <v>7205</v>
      </c>
      <c r="Q116" s="1" t="str">
        <f>VLOOKUP(P116,PUC!$A$7:$B$869,2,0)</f>
        <v xml:space="preserve">Mano de obra directa</v>
      </c>
      <c r="R116" s="6" t="s">
        <v>1423</v>
      </c>
      <c r="S116" s="6">
        <f>VLOOKUP(N116,List!$F:$H,3,0)</f>
        <v>0</v>
      </c>
    </row>
    <row r="117">
      <c r="A117" s="1">
        <v>815</v>
      </c>
      <c r="B117" s="3" t="s">
        <v>1350</v>
      </c>
      <c r="C117" s="3" t="s">
        <v>220</v>
      </c>
      <c r="D117" s="3" t="s">
        <v>835</v>
      </c>
      <c r="E117" s="3" t="s">
        <v>1333</v>
      </c>
      <c r="F117" s="3" t="s">
        <v>21</v>
      </c>
      <c r="G117" s="3" t="s">
        <v>22</v>
      </c>
      <c r="H117" s="3" t="s">
        <v>23</v>
      </c>
      <c r="I117" s="3" t="s">
        <v>24</v>
      </c>
      <c r="J117" s="3" t="s">
        <v>25</v>
      </c>
      <c r="K117" s="1">
        <f t="shared" si="3"/>
        <v>7</v>
      </c>
      <c r="L117" s="1" t="str">
        <f>VLOOKUP(K117,List!$B$1:$D$10,2,0)</f>
        <v xml:space="preserve">Costos de Servicios</v>
      </c>
      <c r="M117" s="1" t="str">
        <f>VLOOKUP(K117,List!$B$1:$D$10,3,0)</f>
        <v>Resultado</v>
      </c>
      <c r="N117" s="1" t="str">
        <f t="shared" si="4"/>
        <v>72</v>
      </c>
      <c r="O117" s="1" t="str">
        <f>VLOOKUP(N117,List!$F$1:$G$36,2,0)</f>
        <v xml:space="preserve">Mano De Obra Directa</v>
      </c>
      <c r="P117" s="1" t="str">
        <f t="shared" si="5"/>
        <v>7205</v>
      </c>
      <c r="Q117" s="1" t="str">
        <f>VLOOKUP(P117,PUC!$A$7:$B$869,2,0)</f>
        <v xml:space="preserve">Mano de obra directa</v>
      </c>
      <c r="R117" s="6" t="s">
        <v>1423</v>
      </c>
      <c r="S117" s="6">
        <f>VLOOKUP(N117,List!$F:$H,3,0)</f>
        <v>0</v>
      </c>
    </row>
    <row r="118">
      <c r="A118" s="1">
        <v>817</v>
      </c>
      <c r="B118" s="3" t="s">
        <v>1352</v>
      </c>
      <c r="C118" s="3" t="s">
        <v>859</v>
      </c>
      <c r="D118" s="3" t="s">
        <v>835</v>
      </c>
      <c r="E118" s="3" t="s">
        <v>1333</v>
      </c>
      <c r="F118" s="3" t="s">
        <v>21</v>
      </c>
      <c r="G118" s="3" t="s">
        <v>22</v>
      </c>
      <c r="H118" s="3" t="s">
        <v>23</v>
      </c>
      <c r="I118" s="3" t="s">
        <v>24</v>
      </c>
      <c r="J118" s="3" t="s">
        <v>25</v>
      </c>
      <c r="K118" s="1">
        <f t="shared" si="3"/>
        <v>7</v>
      </c>
      <c r="L118" s="1" t="str">
        <f>VLOOKUP(K118,List!$B$1:$D$10,2,0)</f>
        <v xml:space="preserve">Costos de Servicios</v>
      </c>
      <c r="M118" s="1" t="str">
        <f>VLOOKUP(K118,List!$B$1:$D$10,3,0)</f>
        <v>Resultado</v>
      </c>
      <c r="N118" s="1" t="str">
        <f t="shared" si="4"/>
        <v>72</v>
      </c>
      <c r="O118" s="1" t="str">
        <f>VLOOKUP(N118,List!$F$1:$G$36,2,0)</f>
        <v xml:space="preserve">Mano De Obra Directa</v>
      </c>
      <c r="P118" s="1" t="str">
        <f t="shared" si="5"/>
        <v>7205</v>
      </c>
      <c r="Q118" s="1" t="str">
        <f>VLOOKUP(P118,PUC!$A$7:$B$869,2,0)</f>
        <v xml:space="preserve">Mano de obra directa</v>
      </c>
      <c r="R118" s="6" t="s">
        <v>1423</v>
      </c>
      <c r="S118" s="6">
        <f>VLOOKUP(N118,List!$F:$H,3,0)</f>
        <v>0</v>
      </c>
    </row>
    <row r="119">
      <c r="A119" s="1">
        <v>819</v>
      </c>
      <c r="B119" s="3" t="s">
        <v>1354</v>
      </c>
      <c r="C119" s="3" t="s">
        <v>636</v>
      </c>
      <c r="D119" s="3" t="s">
        <v>835</v>
      </c>
      <c r="E119" s="3" t="s">
        <v>1333</v>
      </c>
      <c r="F119" s="3" t="s">
        <v>21</v>
      </c>
      <c r="G119" s="3" t="s">
        <v>22</v>
      </c>
      <c r="H119" s="3" t="s">
        <v>23</v>
      </c>
      <c r="I119" s="3" t="s">
        <v>24</v>
      </c>
      <c r="J119" s="3" t="s">
        <v>25</v>
      </c>
      <c r="K119" s="1">
        <f t="shared" si="3"/>
        <v>7</v>
      </c>
      <c r="L119" s="1" t="str">
        <f>VLOOKUP(K119,List!$B$1:$D$10,2,0)</f>
        <v xml:space="preserve">Costos de Servicios</v>
      </c>
      <c r="M119" s="1" t="str">
        <f>VLOOKUP(K119,List!$B$1:$D$10,3,0)</f>
        <v>Resultado</v>
      </c>
      <c r="N119" s="1" t="str">
        <f t="shared" si="4"/>
        <v>72</v>
      </c>
      <c r="O119" s="1" t="str">
        <f>VLOOKUP(N119,List!$F$1:$G$36,2,0)</f>
        <v xml:space="preserve">Mano De Obra Directa</v>
      </c>
      <c r="P119" s="1" t="str">
        <f t="shared" si="5"/>
        <v>7205</v>
      </c>
      <c r="Q119" s="1" t="str">
        <f>VLOOKUP(P119,PUC!$A$7:$B$869,2,0)</f>
        <v xml:space="preserve">Mano de obra directa</v>
      </c>
      <c r="R119" s="6" t="s">
        <v>1423</v>
      </c>
      <c r="S119" s="6">
        <f>VLOOKUP(N119,List!$F:$H,3,0)</f>
        <v>0</v>
      </c>
    </row>
    <row r="120">
      <c r="A120" s="1">
        <v>821</v>
      </c>
      <c r="B120" s="3" t="s">
        <v>1356</v>
      </c>
      <c r="C120" s="3" t="s">
        <v>640</v>
      </c>
      <c r="D120" s="3" t="s">
        <v>835</v>
      </c>
      <c r="E120" s="3" t="s">
        <v>1333</v>
      </c>
      <c r="F120" s="3" t="s">
        <v>21</v>
      </c>
      <c r="G120" s="3" t="s">
        <v>22</v>
      </c>
      <c r="H120" s="3" t="s">
        <v>23</v>
      </c>
      <c r="I120" s="3" t="s">
        <v>24</v>
      </c>
      <c r="J120" s="3" t="s">
        <v>25</v>
      </c>
      <c r="K120" s="1">
        <f t="shared" si="3"/>
        <v>7</v>
      </c>
      <c r="L120" s="1" t="str">
        <f>VLOOKUP(K120,List!$B$1:$D$10,2,0)</f>
        <v xml:space="preserve">Costos de Servicios</v>
      </c>
      <c r="M120" s="1" t="str">
        <f>VLOOKUP(K120,List!$B$1:$D$10,3,0)</f>
        <v>Resultado</v>
      </c>
      <c r="N120" s="1" t="str">
        <f t="shared" si="4"/>
        <v>72</v>
      </c>
      <c r="O120" s="1" t="str">
        <f>VLOOKUP(N120,List!$F$1:$G$36,2,0)</f>
        <v xml:space="preserve">Mano De Obra Directa</v>
      </c>
      <c r="P120" s="1" t="str">
        <f t="shared" si="5"/>
        <v>7205</v>
      </c>
      <c r="Q120" s="1" t="str">
        <f>VLOOKUP(P120,PUC!$A$7:$B$869,2,0)</f>
        <v xml:space="preserve">Mano de obra directa</v>
      </c>
      <c r="R120" s="6" t="s">
        <v>1423</v>
      </c>
      <c r="S120" s="6">
        <f>VLOOKUP(N120,List!$F:$H,3,0)</f>
        <v>0</v>
      </c>
    </row>
    <row r="121">
      <c r="A121" s="1">
        <v>823</v>
      </c>
      <c r="B121" s="3" t="s">
        <v>1358</v>
      </c>
      <c r="C121" s="3" t="s">
        <v>648</v>
      </c>
      <c r="D121" s="3" t="s">
        <v>835</v>
      </c>
      <c r="E121" s="3" t="s">
        <v>1333</v>
      </c>
      <c r="F121" s="3" t="s">
        <v>21</v>
      </c>
      <c r="G121" s="3" t="s">
        <v>22</v>
      </c>
      <c r="H121" s="3" t="s">
        <v>23</v>
      </c>
      <c r="I121" s="3" t="s">
        <v>24</v>
      </c>
      <c r="J121" s="3" t="s">
        <v>25</v>
      </c>
      <c r="K121" s="1">
        <f t="shared" si="3"/>
        <v>7</v>
      </c>
      <c r="L121" s="1" t="str">
        <f>VLOOKUP(K121,List!$B$1:$D$10,2,0)</f>
        <v xml:space="preserve">Costos de Servicios</v>
      </c>
      <c r="M121" s="1" t="str">
        <f>VLOOKUP(K121,List!$B$1:$D$10,3,0)</f>
        <v>Resultado</v>
      </c>
      <c r="N121" s="1" t="str">
        <f t="shared" si="4"/>
        <v>72</v>
      </c>
      <c r="O121" s="1" t="str">
        <f>VLOOKUP(N121,List!$F$1:$G$36,2,0)</f>
        <v xml:space="preserve">Mano De Obra Directa</v>
      </c>
      <c r="P121" s="1" t="str">
        <f t="shared" si="5"/>
        <v>7205</v>
      </c>
      <c r="Q121" s="1" t="str">
        <f>VLOOKUP(P121,PUC!$A$7:$B$869,2,0)</f>
        <v xml:space="preserve">Mano de obra directa</v>
      </c>
      <c r="R121" s="6" t="s">
        <v>1423</v>
      </c>
      <c r="S121" s="6">
        <f>VLOOKUP(N121,List!$F:$H,3,0)</f>
        <v>0</v>
      </c>
    </row>
    <row r="122">
      <c r="A122" s="1">
        <v>825</v>
      </c>
      <c r="B122" s="3" t="s">
        <v>1360</v>
      </c>
      <c r="C122" s="3" t="s">
        <v>644</v>
      </c>
      <c r="D122" s="3" t="s">
        <v>835</v>
      </c>
      <c r="E122" s="3" t="s">
        <v>1333</v>
      </c>
      <c r="F122" s="3" t="s">
        <v>21</v>
      </c>
      <c r="G122" s="3" t="s">
        <v>22</v>
      </c>
      <c r="H122" s="3" t="s">
        <v>23</v>
      </c>
      <c r="I122" s="3" t="s">
        <v>24</v>
      </c>
      <c r="J122" s="3" t="s">
        <v>25</v>
      </c>
      <c r="K122" s="1">
        <f t="shared" si="3"/>
        <v>7</v>
      </c>
      <c r="L122" s="1" t="str">
        <f>VLOOKUP(K122,List!$B$1:$D$10,2,0)</f>
        <v xml:space="preserve">Costos de Servicios</v>
      </c>
      <c r="M122" s="1" t="str">
        <f>VLOOKUP(K122,List!$B$1:$D$10,3,0)</f>
        <v>Resultado</v>
      </c>
      <c r="N122" s="1" t="str">
        <f t="shared" si="4"/>
        <v>72</v>
      </c>
      <c r="O122" s="1" t="str">
        <f>VLOOKUP(N122,List!$F$1:$G$36,2,0)</f>
        <v xml:space="preserve">Mano De Obra Directa</v>
      </c>
      <c r="P122" s="1" t="str">
        <f t="shared" si="5"/>
        <v>7205</v>
      </c>
      <c r="Q122" s="1" t="str">
        <f>VLOOKUP(P122,PUC!$A$7:$B$869,2,0)</f>
        <v xml:space="preserve">Mano de obra directa</v>
      </c>
      <c r="R122" s="6" t="s">
        <v>1423</v>
      </c>
      <c r="S122" s="6">
        <f>VLOOKUP(N122,List!$F:$H,3,0)</f>
        <v>0</v>
      </c>
    </row>
    <row r="123">
      <c r="A123" s="1">
        <v>828</v>
      </c>
      <c r="B123" s="3" t="s">
        <v>1363</v>
      </c>
      <c r="C123" s="3" t="s">
        <v>888</v>
      </c>
      <c r="D123" s="3" t="s">
        <v>835</v>
      </c>
      <c r="E123" s="3" t="s">
        <v>1333</v>
      </c>
      <c r="F123" s="3" t="s">
        <v>21</v>
      </c>
      <c r="G123" s="3" t="s">
        <v>22</v>
      </c>
      <c r="H123" s="3" t="s">
        <v>23</v>
      </c>
      <c r="I123" s="3" t="s">
        <v>24</v>
      </c>
      <c r="J123" s="3" t="s">
        <v>25</v>
      </c>
      <c r="K123" s="1">
        <f t="shared" si="3"/>
        <v>7</v>
      </c>
      <c r="L123" s="1" t="str">
        <f>VLOOKUP(K123,List!$B$1:$D$10,2,0)</f>
        <v xml:space="preserve">Costos de Servicios</v>
      </c>
      <c r="M123" s="1" t="str">
        <f>VLOOKUP(K123,List!$B$1:$D$10,3,0)</f>
        <v>Resultado</v>
      </c>
      <c r="N123" s="1" t="str">
        <f t="shared" si="4"/>
        <v>72</v>
      </c>
      <c r="O123" s="1" t="str">
        <f>VLOOKUP(N123,List!$F$1:$G$36,2,0)</f>
        <v xml:space="preserve">Mano De Obra Directa</v>
      </c>
      <c r="P123" s="1" t="str">
        <f t="shared" si="5"/>
        <v>7205</v>
      </c>
      <c r="Q123" s="1" t="str">
        <f>VLOOKUP(P123,PUC!$A$7:$B$869,2,0)</f>
        <v xml:space="preserve">Mano de obra directa</v>
      </c>
      <c r="R123" s="6" t="s">
        <v>1423</v>
      </c>
      <c r="S123" s="6">
        <f>VLOOKUP(N123,List!$F:$H,3,0)</f>
        <v>0</v>
      </c>
    </row>
    <row r="124">
      <c r="A124" s="1">
        <v>831</v>
      </c>
      <c r="B124" s="3" t="s">
        <v>1366</v>
      </c>
      <c r="C124" s="3" t="s">
        <v>898</v>
      </c>
      <c r="D124" s="3" t="s">
        <v>835</v>
      </c>
      <c r="E124" s="3" t="s">
        <v>1333</v>
      </c>
      <c r="F124" s="3" t="s">
        <v>21</v>
      </c>
      <c r="G124" s="3" t="s">
        <v>22</v>
      </c>
      <c r="H124" s="3" t="s">
        <v>23</v>
      </c>
      <c r="I124" s="3" t="s">
        <v>24</v>
      </c>
      <c r="J124" s="3" t="s">
        <v>25</v>
      </c>
      <c r="K124" s="1">
        <f t="shared" si="3"/>
        <v>7</v>
      </c>
      <c r="L124" s="1" t="str">
        <f>VLOOKUP(K124,List!$B$1:$D$10,2,0)</f>
        <v xml:space="preserve">Costos de Servicios</v>
      </c>
      <c r="M124" s="1" t="str">
        <f>VLOOKUP(K124,List!$B$1:$D$10,3,0)</f>
        <v>Resultado</v>
      </c>
      <c r="N124" s="1" t="str">
        <f t="shared" si="4"/>
        <v>72</v>
      </c>
      <c r="O124" s="1" t="str">
        <f>VLOOKUP(N124,List!$F$1:$G$36,2,0)</f>
        <v xml:space="preserve">Mano De Obra Directa</v>
      </c>
      <c r="P124" s="1" t="str">
        <f t="shared" si="5"/>
        <v>7205</v>
      </c>
      <c r="Q124" s="1" t="str">
        <f>VLOOKUP(P124,PUC!$A$7:$B$869,2,0)</f>
        <v xml:space="preserve">Mano de obra directa</v>
      </c>
      <c r="R124" s="6" t="s">
        <v>1423</v>
      </c>
      <c r="S124" s="6">
        <f>VLOOKUP(N124,List!$F:$H,3,0)</f>
        <v>0</v>
      </c>
    </row>
    <row r="125">
      <c r="A125" s="1">
        <v>835</v>
      </c>
      <c r="B125" s="3" t="s">
        <v>1370</v>
      </c>
      <c r="C125" s="3" t="s">
        <v>913</v>
      </c>
      <c r="D125" s="3" t="s">
        <v>835</v>
      </c>
      <c r="E125" s="3" t="s">
        <v>1333</v>
      </c>
      <c r="F125" s="3" t="s">
        <v>21</v>
      </c>
      <c r="G125" s="3" t="s">
        <v>22</v>
      </c>
      <c r="H125" s="3" t="s">
        <v>23</v>
      </c>
      <c r="I125" s="3" t="s">
        <v>24</v>
      </c>
      <c r="J125" s="3" t="s">
        <v>25</v>
      </c>
      <c r="K125" s="1">
        <f t="shared" si="3"/>
        <v>7</v>
      </c>
      <c r="L125" s="1" t="str">
        <f>VLOOKUP(K125,List!$B$1:$D$10,2,0)</f>
        <v xml:space="preserve">Costos de Servicios</v>
      </c>
      <c r="M125" s="1" t="str">
        <f>VLOOKUP(K125,List!$B$1:$D$10,3,0)</f>
        <v>Resultado</v>
      </c>
      <c r="N125" s="1" t="str">
        <f t="shared" si="4"/>
        <v>72</v>
      </c>
      <c r="O125" s="1" t="str">
        <f>VLOOKUP(N125,List!$F$1:$G$36,2,0)</f>
        <v xml:space="preserve">Mano De Obra Directa</v>
      </c>
      <c r="P125" s="1" t="str">
        <f t="shared" si="5"/>
        <v>7205</v>
      </c>
      <c r="Q125" s="1" t="str">
        <f>VLOOKUP(P125,PUC!$A$7:$B$869,2,0)</f>
        <v xml:space="preserve">Mano de obra directa</v>
      </c>
      <c r="R125" s="6" t="s">
        <v>1423</v>
      </c>
      <c r="S125" s="6">
        <f>VLOOKUP(N125,List!$F:$H,3,0)</f>
        <v>0</v>
      </c>
    </row>
    <row r="126">
      <c r="A126" s="1">
        <v>837</v>
      </c>
      <c r="B126" s="3" t="s">
        <v>1372</v>
      </c>
      <c r="C126" s="3" t="s">
        <v>525</v>
      </c>
      <c r="D126" s="3" t="s">
        <v>835</v>
      </c>
      <c r="E126" s="3" t="s">
        <v>1333</v>
      </c>
      <c r="F126" s="3" t="s">
        <v>21</v>
      </c>
      <c r="G126" s="3" t="s">
        <v>22</v>
      </c>
      <c r="H126" s="3" t="s">
        <v>23</v>
      </c>
      <c r="I126" s="3" t="s">
        <v>24</v>
      </c>
      <c r="J126" s="3" t="s">
        <v>25</v>
      </c>
      <c r="K126" s="1">
        <f t="shared" si="3"/>
        <v>7</v>
      </c>
      <c r="L126" s="1" t="str">
        <f>VLOOKUP(K126,List!$B$1:$D$10,2,0)</f>
        <v xml:space="preserve">Costos de Servicios</v>
      </c>
      <c r="M126" s="1" t="str">
        <f>VLOOKUP(K126,List!$B$1:$D$10,3,0)</f>
        <v>Resultado</v>
      </c>
      <c r="N126" s="1" t="str">
        <f t="shared" si="4"/>
        <v>72</v>
      </c>
      <c r="O126" s="1" t="str">
        <f>VLOOKUP(N126,List!$F$1:$G$36,2,0)</f>
        <v xml:space="preserve">Mano De Obra Directa</v>
      </c>
      <c r="P126" s="1" t="str">
        <f t="shared" si="5"/>
        <v>7205</v>
      </c>
      <c r="Q126" s="1" t="str">
        <f>VLOOKUP(P126,PUC!$A$7:$B$869,2,0)</f>
        <v xml:space="preserve">Mano de obra directa</v>
      </c>
      <c r="R126" s="6" t="s">
        <v>1423</v>
      </c>
      <c r="S126" s="6">
        <f>VLOOKUP(N126,List!$F:$H,3,0)</f>
        <v>0</v>
      </c>
    </row>
    <row r="127">
      <c r="A127" s="1">
        <v>839</v>
      </c>
      <c r="B127" s="3" t="s">
        <v>1374</v>
      </c>
      <c r="C127" s="3" t="s">
        <v>922</v>
      </c>
      <c r="D127" s="3" t="s">
        <v>835</v>
      </c>
      <c r="E127" s="3" t="s">
        <v>1333</v>
      </c>
      <c r="F127" s="3" t="s">
        <v>21</v>
      </c>
      <c r="G127" s="3" t="s">
        <v>22</v>
      </c>
      <c r="H127" s="3" t="s">
        <v>23</v>
      </c>
      <c r="I127" s="3" t="s">
        <v>24</v>
      </c>
      <c r="J127" s="3" t="s">
        <v>25</v>
      </c>
      <c r="K127" s="1">
        <f t="shared" si="3"/>
        <v>7</v>
      </c>
      <c r="L127" s="1" t="str">
        <f>VLOOKUP(K127,List!$B$1:$D$10,2,0)</f>
        <v xml:space="preserve">Costos de Servicios</v>
      </c>
      <c r="M127" s="1" t="str">
        <f>VLOOKUP(K127,List!$B$1:$D$10,3,0)</f>
        <v>Resultado</v>
      </c>
      <c r="N127" s="1" t="str">
        <f t="shared" si="4"/>
        <v>72</v>
      </c>
      <c r="O127" s="1" t="str">
        <f>VLOOKUP(N127,List!$F$1:$G$36,2,0)</f>
        <v xml:space="preserve">Mano De Obra Directa</v>
      </c>
      <c r="P127" s="1" t="str">
        <f t="shared" si="5"/>
        <v>7205</v>
      </c>
      <c r="Q127" s="1" t="str">
        <f>VLOOKUP(P127,PUC!$A$7:$B$869,2,0)</f>
        <v xml:space="preserve">Mano de obra directa</v>
      </c>
      <c r="R127" s="6" t="s">
        <v>1423</v>
      </c>
      <c r="S127" s="6">
        <f>VLOOKUP(N127,List!$F:$H,3,0)</f>
        <v>0</v>
      </c>
    </row>
    <row r="128">
      <c r="A128" s="1">
        <v>841</v>
      </c>
      <c r="B128" s="3" t="s">
        <v>1376</v>
      </c>
      <c r="C128" s="3" t="s">
        <v>927</v>
      </c>
      <c r="D128" s="3" t="s">
        <v>835</v>
      </c>
      <c r="E128" s="3" t="s">
        <v>1333</v>
      </c>
      <c r="F128" s="3" t="s">
        <v>21</v>
      </c>
      <c r="G128" s="3" t="s">
        <v>22</v>
      </c>
      <c r="H128" s="3" t="s">
        <v>23</v>
      </c>
      <c r="I128" s="3" t="s">
        <v>24</v>
      </c>
      <c r="J128" s="3" t="s">
        <v>25</v>
      </c>
      <c r="K128" s="1">
        <f t="shared" si="3"/>
        <v>7</v>
      </c>
      <c r="L128" s="1" t="str">
        <f>VLOOKUP(K128,List!$B$1:$D$10,2,0)</f>
        <v xml:space="preserve">Costos de Servicios</v>
      </c>
      <c r="M128" s="1" t="str">
        <f>VLOOKUP(K128,List!$B$1:$D$10,3,0)</f>
        <v>Resultado</v>
      </c>
      <c r="N128" s="1" t="str">
        <f t="shared" si="4"/>
        <v>72</v>
      </c>
      <c r="O128" s="1" t="str">
        <f>VLOOKUP(N128,List!$F$1:$G$36,2,0)</f>
        <v xml:space="preserve">Mano De Obra Directa</v>
      </c>
      <c r="P128" s="1" t="str">
        <f t="shared" si="5"/>
        <v>7205</v>
      </c>
      <c r="Q128" s="1" t="str">
        <f>VLOOKUP(P128,PUC!$A$7:$B$869,2,0)</f>
        <v xml:space="preserve">Mano de obra directa</v>
      </c>
      <c r="R128" s="6" t="s">
        <v>1423</v>
      </c>
      <c r="S128" s="6">
        <f>VLOOKUP(N128,List!$F:$H,3,0)</f>
        <v>0</v>
      </c>
    </row>
    <row r="129">
      <c r="A129" s="1">
        <v>843</v>
      </c>
      <c r="B129" s="3" t="s">
        <v>1378</v>
      </c>
      <c r="C129" s="3" t="s">
        <v>932</v>
      </c>
      <c r="D129" s="3" t="s">
        <v>835</v>
      </c>
      <c r="E129" s="3" t="s">
        <v>1333</v>
      </c>
      <c r="F129" s="3" t="s">
        <v>21</v>
      </c>
      <c r="G129" s="3" t="s">
        <v>22</v>
      </c>
      <c r="H129" s="3" t="s">
        <v>23</v>
      </c>
      <c r="I129" s="3" t="s">
        <v>24</v>
      </c>
      <c r="J129" s="3" t="s">
        <v>25</v>
      </c>
      <c r="K129" s="1">
        <f t="shared" si="3"/>
        <v>7</v>
      </c>
      <c r="L129" s="1" t="str">
        <f>VLOOKUP(K129,List!$B$1:$D$10,2,0)</f>
        <v xml:space="preserve">Costos de Servicios</v>
      </c>
      <c r="M129" s="1" t="str">
        <f>VLOOKUP(K129,List!$B$1:$D$10,3,0)</f>
        <v>Resultado</v>
      </c>
      <c r="N129" s="1" t="str">
        <f t="shared" si="4"/>
        <v>72</v>
      </c>
      <c r="O129" s="1" t="str">
        <f>VLOOKUP(N129,List!$F$1:$G$36,2,0)</f>
        <v xml:space="preserve">Mano De Obra Directa</v>
      </c>
      <c r="P129" s="1" t="str">
        <f t="shared" si="5"/>
        <v>7205</v>
      </c>
      <c r="Q129" s="1" t="str">
        <f>VLOOKUP(P129,PUC!$A$7:$B$869,2,0)</f>
        <v xml:space="preserve">Mano de obra directa</v>
      </c>
      <c r="R129" s="6" t="s">
        <v>1423</v>
      </c>
      <c r="S129" s="6">
        <f>VLOOKUP(N129,List!$F:$H,3,0)</f>
        <v>0</v>
      </c>
    </row>
    <row r="130">
      <c r="A130" s="1">
        <v>845</v>
      </c>
      <c r="B130" s="3" t="s">
        <v>1380</v>
      </c>
      <c r="C130" s="3" t="s">
        <v>937</v>
      </c>
      <c r="D130" s="3" t="s">
        <v>835</v>
      </c>
      <c r="E130" s="3" t="s">
        <v>1333</v>
      </c>
      <c r="F130" s="3" t="s">
        <v>21</v>
      </c>
      <c r="G130" s="3" t="s">
        <v>22</v>
      </c>
      <c r="H130" s="3" t="s">
        <v>23</v>
      </c>
      <c r="I130" s="3" t="s">
        <v>24</v>
      </c>
      <c r="J130" s="3" t="s">
        <v>25</v>
      </c>
      <c r="K130" s="1">
        <f t="shared" ref="K130:K193" si="6">VALUE(LEFT(B130))</f>
        <v>7</v>
      </c>
      <c r="L130" s="1" t="str">
        <f>VLOOKUP(K130,List!$B$1:$D$10,2,0)</f>
        <v xml:space="preserve">Costos de Servicios</v>
      </c>
      <c r="M130" s="1" t="str">
        <f>VLOOKUP(K130,List!$B$1:$D$10,3,0)</f>
        <v>Resultado</v>
      </c>
      <c r="N130" s="1" t="str">
        <f t="shared" ref="N130:N193" si="7">LEFT(B130,2)</f>
        <v>72</v>
      </c>
      <c r="O130" s="1" t="str">
        <f>VLOOKUP(N130,List!$F$1:$G$36,2,0)</f>
        <v xml:space="preserve">Mano De Obra Directa</v>
      </c>
      <c r="P130" s="1" t="str">
        <f t="shared" ref="P130:P193" si="8">LEFT(B130,4)</f>
        <v>7205</v>
      </c>
      <c r="Q130" s="1" t="str">
        <f>VLOOKUP(P130,PUC!$A$7:$B$869,2,0)</f>
        <v xml:space="preserve">Mano de obra directa</v>
      </c>
      <c r="R130" s="6" t="s">
        <v>1423</v>
      </c>
      <c r="S130" s="6">
        <f>VLOOKUP(N130,List!$F:$H,3,0)</f>
        <v>0</v>
      </c>
    </row>
    <row r="131">
      <c r="A131" s="1">
        <v>851</v>
      </c>
      <c r="B131" s="3" t="s">
        <v>1387</v>
      </c>
      <c r="C131" s="3" t="s">
        <v>1384</v>
      </c>
      <c r="D131" s="3" t="s">
        <v>1326</v>
      </c>
      <c r="E131" s="3" t="s">
        <v>1333</v>
      </c>
      <c r="F131" s="3" t="s">
        <v>21</v>
      </c>
      <c r="G131" s="3" t="s">
        <v>22</v>
      </c>
      <c r="H131" s="3" t="s">
        <v>23</v>
      </c>
      <c r="I131" s="3" t="s">
        <v>24</v>
      </c>
      <c r="J131" s="3" t="s">
        <v>25</v>
      </c>
      <c r="K131" s="1">
        <f t="shared" si="6"/>
        <v>7</v>
      </c>
      <c r="L131" s="1" t="str">
        <f>VLOOKUP(K131,List!$B$1:$D$10,2,0)</f>
        <v xml:space="preserve">Costos de Servicios</v>
      </c>
      <c r="M131" s="1" t="str">
        <f>VLOOKUP(K131,List!$B$1:$D$10,3,0)</f>
        <v>Resultado</v>
      </c>
      <c r="N131" s="1" t="str">
        <f t="shared" si="7"/>
        <v>73</v>
      </c>
      <c r="O131" s="1" t="str">
        <f>VLOOKUP(N131,List!$F$1:$G$36,2,0)</f>
        <v xml:space="preserve">Costos Indirectos</v>
      </c>
      <c r="P131" s="1" t="str">
        <f t="shared" si="8"/>
        <v>7305</v>
      </c>
      <c r="Q131" s="1" t="str">
        <f>VLOOKUP(P131,PUC!$A$7:$B$8690,2,0)</f>
        <v xml:space="preserve">Costos indirectos</v>
      </c>
      <c r="R131" s="6" t="s">
        <v>1423</v>
      </c>
      <c r="S131" s="6">
        <f>VLOOKUP(N131,List!$F:$H,3,0)</f>
        <v>0</v>
      </c>
    </row>
    <row r="132">
      <c r="A132" s="1">
        <v>855</v>
      </c>
      <c r="B132" s="3" t="s">
        <v>1392</v>
      </c>
      <c r="C132" s="3" t="s">
        <v>1389</v>
      </c>
      <c r="D132" s="3" t="s">
        <v>1326</v>
      </c>
      <c r="E132" s="3" t="s">
        <v>1333</v>
      </c>
      <c r="F132" s="3" t="s">
        <v>21</v>
      </c>
      <c r="G132" s="3" t="s">
        <v>22</v>
      </c>
      <c r="H132" s="3" t="s">
        <v>23</v>
      </c>
      <c r="I132" s="3" t="s">
        <v>24</v>
      </c>
      <c r="J132" s="3" t="s">
        <v>25</v>
      </c>
      <c r="K132" s="1">
        <f t="shared" si="6"/>
        <v>7</v>
      </c>
      <c r="L132" s="1" t="str">
        <f>VLOOKUP(K132,List!$B$1:$D$10,2,0)</f>
        <v xml:space="preserve">Costos de Servicios</v>
      </c>
      <c r="M132" s="1" t="str">
        <f>VLOOKUP(K132,List!$B$1:$D$10,3,0)</f>
        <v>Resultado</v>
      </c>
      <c r="N132" s="1" t="str">
        <f t="shared" si="7"/>
        <v>74</v>
      </c>
      <c r="O132" s="1" t="str">
        <f>VLOOKUP(N132,List!$F$1:$G$36,2,0)</f>
        <v xml:space="preserve">Contratos De Servicios</v>
      </c>
      <c r="P132" s="1" t="str">
        <f t="shared" si="8"/>
        <v>7405</v>
      </c>
      <c r="Q132" s="1" t="str">
        <f>VLOOKUP(P132,PUC!$A$7:$B$8690,2,0)</f>
        <v xml:space="preserve">Contratos de servicios</v>
      </c>
      <c r="R132" s="6" t="s">
        <v>1423</v>
      </c>
      <c r="S132" s="6">
        <f>VLOOKUP(N132,List!$F:$H,3,0)</f>
        <v>0</v>
      </c>
    </row>
    <row r="133">
      <c r="A133" s="1">
        <v>795</v>
      </c>
      <c r="B133" s="3" t="s">
        <v>1325</v>
      </c>
      <c r="C133" s="3" t="s">
        <v>60</v>
      </c>
      <c r="D133" s="3" t="s">
        <v>1326</v>
      </c>
      <c r="E133" s="3" t="s">
        <v>1320</v>
      </c>
      <c r="F133" s="3" t="s">
        <v>21</v>
      </c>
      <c r="G133" s="3" t="s">
        <v>22</v>
      </c>
      <c r="H133" s="3" t="s">
        <v>23</v>
      </c>
      <c r="I133" s="3" t="s">
        <v>24</v>
      </c>
      <c r="J133" s="3" t="s">
        <v>25</v>
      </c>
      <c r="K133" s="1">
        <f t="shared" si="6"/>
        <v>6</v>
      </c>
      <c r="L133" s="1" t="str">
        <f>VLOOKUP(K133,List!$B$1:$D$10,2,0)</f>
        <v xml:space="preserve">Costos de Ventas</v>
      </c>
      <c r="M133" s="1" t="str">
        <f>VLOOKUP(K133,List!$B$1:$D$10,3,0)</f>
        <v>Resultado</v>
      </c>
      <c r="N133" s="1" t="str">
        <f t="shared" si="7"/>
        <v>61</v>
      </c>
      <c r="O133" s="1" t="str">
        <f>VLOOKUP(N133,List!$F$1:$G$36,2,0)</f>
        <v xml:space="preserve">Costo De Ventas Y De Prestación De Servicios</v>
      </c>
      <c r="P133" s="1" t="str">
        <f t="shared" si="8"/>
        <v>6135</v>
      </c>
      <c r="Q133" s="1" t="str">
        <f>VLOOKUP(P133,PUC!$A$7:$B$869,2,0)</f>
        <v xml:space="preserve">Comercio al por mayor y al por menor</v>
      </c>
      <c r="R133" s="6" t="s">
        <v>1423</v>
      </c>
      <c r="S133" s="6">
        <f>VLOOKUP(N133,List!$F:$H,3,0)</f>
        <v>0</v>
      </c>
    </row>
    <row r="134">
      <c r="A134" s="1">
        <v>798</v>
      </c>
      <c r="B134" s="3" t="s">
        <v>1329</v>
      </c>
      <c r="C134" s="3" t="s">
        <v>441</v>
      </c>
      <c r="D134" s="3" t="s">
        <v>1326</v>
      </c>
      <c r="E134" s="3" t="s">
        <v>1320</v>
      </c>
      <c r="F134" s="3" t="s">
        <v>21</v>
      </c>
      <c r="G134" s="3" t="s">
        <v>22</v>
      </c>
      <c r="H134" s="3" t="s">
        <v>23</v>
      </c>
      <c r="I134" s="3" t="s">
        <v>24</v>
      </c>
      <c r="J134" s="3" t="s">
        <v>25</v>
      </c>
      <c r="K134" s="1">
        <f t="shared" si="6"/>
        <v>6</v>
      </c>
      <c r="L134" s="1" t="str">
        <f>VLOOKUP(K134,List!$B$1:$D$10,2,0)</f>
        <v xml:space="preserve">Costos de Ventas</v>
      </c>
      <c r="M134" s="1" t="str">
        <f>VLOOKUP(K134,List!$B$1:$D$10,3,0)</f>
        <v>Resultado</v>
      </c>
      <c r="N134" s="1" t="str">
        <f t="shared" si="7"/>
        <v>61</v>
      </c>
      <c r="O134" s="1" t="str">
        <f>VLOOKUP(N134,List!$F$1:$G$36,2,0)</f>
        <v xml:space="preserve">Costo De Ventas Y De Prestación De Servicios</v>
      </c>
      <c r="P134" s="1" t="str">
        <f t="shared" si="8"/>
        <v>6180</v>
      </c>
      <c r="Q134" s="1" t="str">
        <f>VLOOKUP(P134,PUC!$A$7:$B$869,2,0)</f>
        <v>Servicios</v>
      </c>
      <c r="R134" s="6" t="s">
        <v>1423</v>
      </c>
      <c r="S134" s="6">
        <f>VLOOKUP(N134,List!$F:$H,3,0)</f>
        <v>0</v>
      </c>
    </row>
    <row r="135">
      <c r="A135" s="1">
        <v>862</v>
      </c>
      <c r="B135" s="3" t="s">
        <v>1403</v>
      </c>
      <c r="C135" s="3" t="s">
        <v>1401</v>
      </c>
      <c r="D135" s="3" t="s">
        <v>1404</v>
      </c>
      <c r="E135" s="3" t="s">
        <v>1398</v>
      </c>
      <c r="F135" s="3" t="s">
        <v>1405</v>
      </c>
      <c r="G135" s="3" t="s">
        <v>22</v>
      </c>
      <c r="H135" s="3" t="s">
        <v>23</v>
      </c>
      <c r="I135" s="3" t="s">
        <v>24</v>
      </c>
      <c r="J135" s="3" t="s">
        <v>25</v>
      </c>
      <c r="K135" s="1">
        <f t="shared" si="6"/>
        <v>9</v>
      </c>
      <c r="L135" s="1" t="str">
        <f>VLOOKUP(K135,List!$B$1:$D$10,2,0)</f>
        <v>Orden</v>
      </c>
      <c r="M135" s="1" t="str">
        <f>VLOOKUP(K135,List!$B$1:$D$10,3,0)</f>
        <v>Orden</v>
      </c>
      <c r="N135" s="1" t="str">
        <f t="shared" si="7"/>
        <v>99</v>
      </c>
      <c r="O135" s="1" t="str">
        <f>VLOOKUP(N135,List!$F$1:$G$36,2,0)</f>
        <v xml:space="preserve">Cuentas De Orden Acreedoras</v>
      </c>
      <c r="P135" s="1" t="str">
        <f t="shared" si="8"/>
        <v>9999</v>
      </c>
      <c r="Q135" s="1" t="str">
        <f>VLOOKUP(P135,PUC!$A$7:$B$8690,2,0)</f>
        <v xml:space="preserve">Saldos iniciales por conciliar</v>
      </c>
      <c r="R135" s="6" t="s">
        <v>1422</v>
      </c>
      <c r="S135" s="6">
        <f>VLOOKUP(N135,List!$F:$H,3,0)</f>
        <v>0</v>
      </c>
    </row>
    <row r="136">
      <c r="A136" s="1">
        <v>464</v>
      </c>
      <c r="B136" s="3" t="s">
        <v>834</v>
      </c>
      <c r="C136" s="3" t="s">
        <v>833</v>
      </c>
      <c r="D136" s="3" t="s">
        <v>835</v>
      </c>
      <c r="E136" s="3" t="s">
        <v>836</v>
      </c>
      <c r="F136" s="3" t="s">
        <v>21</v>
      </c>
      <c r="G136" s="3" t="s">
        <v>22</v>
      </c>
      <c r="H136" s="3" t="s">
        <v>23</v>
      </c>
      <c r="I136" s="3" t="s">
        <v>24</v>
      </c>
      <c r="J136" s="3" t="s">
        <v>25</v>
      </c>
      <c r="K136" s="1">
        <f t="shared" si="6"/>
        <v>5</v>
      </c>
      <c r="L136" s="1" t="str">
        <f>VLOOKUP(K136,List!$B$1:$D$10,2,0)</f>
        <v>Gastos</v>
      </c>
      <c r="M136" s="1" t="str">
        <f>VLOOKUP(K136,List!$B$1:$D$10,3,0)</f>
        <v>Resultado</v>
      </c>
      <c r="N136" s="1" t="str">
        <f t="shared" si="7"/>
        <v>51</v>
      </c>
      <c r="O136" s="1" t="str">
        <f>VLOOKUP(N136,List!$F$1:$G$36,2,0)</f>
        <v>Administrativos</v>
      </c>
      <c r="P136" s="1" t="str">
        <f t="shared" si="8"/>
        <v>5105</v>
      </c>
      <c r="Q136" s="1" t="str">
        <f>VLOOKUP(P136,PUC!$A$7:$B$869,2,0)</f>
        <v xml:space="preserve">Gastos de personal</v>
      </c>
      <c r="R136" s="6" t="s">
        <v>1423</v>
      </c>
      <c r="S136" s="6">
        <f>VLOOKUP(N136,List!$F:$H,3,0)</f>
        <v>0</v>
      </c>
    </row>
    <row r="137">
      <c r="A137" s="1">
        <v>465</v>
      </c>
      <c r="B137" s="3" t="s">
        <v>837</v>
      </c>
      <c r="C137" s="3" t="s">
        <v>838</v>
      </c>
      <c r="D137" s="3" t="s">
        <v>835</v>
      </c>
      <c r="E137" s="3" t="s">
        <v>836</v>
      </c>
      <c r="F137" s="3" t="s">
        <v>21</v>
      </c>
      <c r="G137" s="3" t="s">
        <v>22</v>
      </c>
      <c r="H137" s="3" t="s">
        <v>24</v>
      </c>
      <c r="I137" s="3" t="s">
        <v>24</v>
      </c>
      <c r="J137" s="3" t="s">
        <v>25</v>
      </c>
      <c r="K137" s="1">
        <f t="shared" si="6"/>
        <v>5</v>
      </c>
      <c r="L137" s="1" t="str">
        <f>VLOOKUP(K137,List!$B$1:$D$10,2,0)</f>
        <v>Gastos</v>
      </c>
      <c r="M137" s="1" t="str">
        <f>VLOOKUP(K137,List!$B$1:$D$10,3,0)</f>
        <v>Resultado</v>
      </c>
      <c r="N137" s="1" t="str">
        <f t="shared" si="7"/>
        <v>51</v>
      </c>
      <c r="O137" s="1" t="str">
        <f>VLOOKUP(N137,List!$F$1:$G$36,2,0)</f>
        <v>Administrativos</v>
      </c>
      <c r="P137" s="1" t="str">
        <f t="shared" si="8"/>
        <v>5105</v>
      </c>
      <c r="Q137" s="1" t="str">
        <f>VLOOKUP(P137,PUC!$A$7:$B$869,2,0)</f>
        <v xml:space="preserve">Gastos de personal</v>
      </c>
      <c r="R137" s="6" t="s">
        <v>1423</v>
      </c>
      <c r="S137" s="6">
        <f>VLOOKUP(N137,List!$F:$H,3,0)</f>
        <v>0</v>
      </c>
    </row>
    <row r="138">
      <c r="A138" s="1">
        <v>467</v>
      </c>
      <c r="B138" s="3" t="s">
        <v>841</v>
      </c>
      <c r="C138" s="3" t="s">
        <v>840</v>
      </c>
      <c r="D138" s="3" t="s">
        <v>835</v>
      </c>
      <c r="E138" s="3" t="s">
        <v>836</v>
      </c>
      <c r="F138" s="3" t="s">
        <v>21</v>
      </c>
      <c r="G138" s="3" t="s">
        <v>22</v>
      </c>
      <c r="H138" s="3" t="s">
        <v>23</v>
      </c>
      <c r="I138" s="3" t="s">
        <v>24</v>
      </c>
      <c r="J138" s="3" t="s">
        <v>25</v>
      </c>
      <c r="K138" s="1">
        <f t="shared" si="6"/>
        <v>5</v>
      </c>
      <c r="L138" s="1" t="str">
        <f>VLOOKUP(K138,List!$B$1:$D$10,2,0)</f>
        <v>Gastos</v>
      </c>
      <c r="M138" s="1" t="str">
        <f>VLOOKUP(K138,List!$B$1:$D$10,3,0)</f>
        <v>Resultado</v>
      </c>
      <c r="N138" s="1" t="str">
        <f t="shared" si="7"/>
        <v>51</v>
      </c>
      <c r="O138" s="1" t="str">
        <f>VLOOKUP(N138,List!$F$1:$G$36,2,0)</f>
        <v>Administrativos</v>
      </c>
      <c r="P138" s="1" t="str">
        <f t="shared" si="8"/>
        <v>5105</v>
      </c>
      <c r="Q138" s="1" t="str">
        <f>VLOOKUP(P138,PUC!$A$7:$B$869,2,0)</f>
        <v xml:space="preserve">Gastos de personal</v>
      </c>
      <c r="R138" s="6" t="s">
        <v>1423</v>
      </c>
      <c r="S138" s="6">
        <f>VLOOKUP(N138,List!$F:$H,3,0)</f>
        <v>0</v>
      </c>
    </row>
    <row r="139">
      <c r="A139" s="1">
        <v>468</v>
      </c>
      <c r="B139" s="3" t="s">
        <v>842</v>
      </c>
      <c r="C139" s="3" t="s">
        <v>843</v>
      </c>
      <c r="D139" s="3" t="s">
        <v>835</v>
      </c>
      <c r="E139" s="3" t="s">
        <v>836</v>
      </c>
      <c r="F139" s="3" t="s">
        <v>21</v>
      </c>
      <c r="G139" s="3" t="s">
        <v>22</v>
      </c>
      <c r="H139" s="3" t="s">
        <v>24</v>
      </c>
      <c r="I139" s="3" t="s">
        <v>24</v>
      </c>
      <c r="J139" s="3" t="s">
        <v>25</v>
      </c>
      <c r="K139" s="1">
        <f t="shared" si="6"/>
        <v>5</v>
      </c>
      <c r="L139" s="1" t="str">
        <f>VLOOKUP(K139,List!$B$1:$D$10,2,0)</f>
        <v>Gastos</v>
      </c>
      <c r="M139" s="1" t="str">
        <f>VLOOKUP(K139,List!$B$1:$D$10,3,0)</f>
        <v>Resultado</v>
      </c>
      <c r="N139" s="1" t="str">
        <f t="shared" si="7"/>
        <v>51</v>
      </c>
      <c r="O139" s="1" t="str">
        <f>VLOOKUP(N139,List!$F$1:$G$36,2,0)</f>
        <v>Administrativos</v>
      </c>
      <c r="P139" s="1" t="str">
        <f t="shared" si="8"/>
        <v>5105</v>
      </c>
      <c r="Q139" s="1" t="str">
        <f>VLOOKUP(P139,PUC!$A$7:$B$869,2,0)</f>
        <v xml:space="preserve">Gastos de personal</v>
      </c>
      <c r="R139" s="6" t="s">
        <v>1423</v>
      </c>
      <c r="S139" s="6">
        <f>VLOOKUP(N139,List!$F:$H,3,0)</f>
        <v>0</v>
      </c>
    </row>
    <row r="140">
      <c r="A140" s="1">
        <v>470</v>
      </c>
      <c r="B140" s="3" t="s">
        <v>846</v>
      </c>
      <c r="C140" s="3" t="s">
        <v>845</v>
      </c>
      <c r="D140" s="3" t="s">
        <v>835</v>
      </c>
      <c r="E140" s="3" t="s">
        <v>836</v>
      </c>
      <c r="F140" s="3" t="s">
        <v>21</v>
      </c>
      <c r="G140" s="3" t="s">
        <v>22</v>
      </c>
      <c r="H140" s="3" t="s">
        <v>23</v>
      </c>
      <c r="I140" s="3" t="s">
        <v>24</v>
      </c>
      <c r="J140" s="3" t="s">
        <v>25</v>
      </c>
      <c r="K140" s="1">
        <f t="shared" si="6"/>
        <v>5</v>
      </c>
      <c r="L140" s="1" t="str">
        <f>VLOOKUP(K140,List!$B$1:$D$10,2,0)</f>
        <v>Gastos</v>
      </c>
      <c r="M140" s="1" t="str">
        <f>VLOOKUP(K140,List!$B$1:$D$10,3,0)</f>
        <v>Resultado</v>
      </c>
      <c r="N140" s="1" t="str">
        <f t="shared" si="7"/>
        <v>51</v>
      </c>
      <c r="O140" s="1" t="str">
        <f>VLOOKUP(N140,List!$F$1:$G$36,2,0)</f>
        <v>Administrativos</v>
      </c>
      <c r="P140" s="1" t="str">
        <f t="shared" si="8"/>
        <v>5105</v>
      </c>
      <c r="Q140" s="1" t="str">
        <f>VLOOKUP(P140,PUC!$A$7:$B$869,2,0)</f>
        <v xml:space="preserve">Gastos de personal</v>
      </c>
      <c r="R140" s="6" t="s">
        <v>1423</v>
      </c>
      <c r="S140" s="6">
        <f>VLOOKUP(N140,List!$F:$H,3,0)</f>
        <v>0</v>
      </c>
    </row>
    <row r="141">
      <c r="A141" s="1">
        <v>471</v>
      </c>
      <c r="B141" s="3" t="s">
        <v>847</v>
      </c>
      <c r="C141" s="3" t="s">
        <v>848</v>
      </c>
      <c r="D141" s="3" t="s">
        <v>835</v>
      </c>
      <c r="E141" s="3" t="s">
        <v>836</v>
      </c>
      <c r="F141" s="3" t="s">
        <v>21</v>
      </c>
      <c r="G141" s="3" t="s">
        <v>22</v>
      </c>
      <c r="H141" s="3" t="s">
        <v>24</v>
      </c>
      <c r="I141" s="3" t="s">
        <v>24</v>
      </c>
      <c r="J141" s="3" t="s">
        <v>25</v>
      </c>
      <c r="K141" s="1">
        <f t="shared" si="6"/>
        <v>5</v>
      </c>
      <c r="L141" s="1" t="str">
        <f>VLOOKUP(K141,List!$B$1:$D$10,2,0)</f>
        <v>Gastos</v>
      </c>
      <c r="M141" s="1" t="str">
        <f>VLOOKUP(K141,List!$B$1:$D$10,3,0)</f>
        <v>Resultado</v>
      </c>
      <c r="N141" s="1" t="str">
        <f t="shared" si="7"/>
        <v>51</v>
      </c>
      <c r="O141" s="1" t="str">
        <f>VLOOKUP(N141,List!$F$1:$G$36,2,0)</f>
        <v>Administrativos</v>
      </c>
      <c r="P141" s="1" t="str">
        <f t="shared" si="8"/>
        <v>5105</v>
      </c>
      <c r="Q141" s="1" t="str">
        <f>VLOOKUP(P141,PUC!$A$7:$B$869,2,0)</f>
        <v xml:space="preserve">Gastos de personal</v>
      </c>
      <c r="R141" s="6" t="s">
        <v>1423</v>
      </c>
      <c r="S141" s="6">
        <f>VLOOKUP(N141,List!$F:$H,3,0)</f>
        <v>0</v>
      </c>
    </row>
    <row r="142">
      <c r="A142" s="1">
        <v>473</v>
      </c>
      <c r="B142" s="3" t="s">
        <v>851</v>
      </c>
      <c r="C142" s="3" t="s">
        <v>850</v>
      </c>
      <c r="D142" s="3" t="s">
        <v>835</v>
      </c>
      <c r="E142" s="3" t="s">
        <v>836</v>
      </c>
      <c r="F142" s="3" t="s">
        <v>21</v>
      </c>
      <c r="G142" s="3" t="s">
        <v>22</v>
      </c>
      <c r="H142" s="3" t="s">
        <v>23</v>
      </c>
      <c r="I142" s="3" t="s">
        <v>24</v>
      </c>
      <c r="J142" s="3" t="s">
        <v>25</v>
      </c>
      <c r="K142" s="1">
        <f t="shared" si="6"/>
        <v>5</v>
      </c>
      <c r="L142" s="1" t="str">
        <f>VLOOKUP(K142,List!$B$1:$D$10,2,0)</f>
        <v>Gastos</v>
      </c>
      <c r="M142" s="1" t="str">
        <f>VLOOKUP(K142,List!$B$1:$D$10,3,0)</f>
        <v>Resultado</v>
      </c>
      <c r="N142" s="1" t="str">
        <f t="shared" si="7"/>
        <v>51</v>
      </c>
      <c r="O142" s="1" t="str">
        <f>VLOOKUP(N142,List!$F$1:$G$36,2,0)</f>
        <v>Administrativos</v>
      </c>
      <c r="P142" s="1" t="str">
        <f t="shared" si="8"/>
        <v>5105</v>
      </c>
      <c r="Q142" s="1" t="str">
        <f>VLOOKUP(P142,PUC!$A$7:$B$869,2,0)</f>
        <v xml:space="preserve">Gastos de personal</v>
      </c>
      <c r="R142" s="6" t="s">
        <v>1423</v>
      </c>
      <c r="S142" s="6">
        <f>VLOOKUP(N142,List!$F:$H,3,0)</f>
        <v>0</v>
      </c>
    </row>
    <row r="143">
      <c r="A143" s="1">
        <v>474</v>
      </c>
      <c r="B143" s="3" t="s">
        <v>852</v>
      </c>
      <c r="C143" s="3" t="s">
        <v>853</v>
      </c>
      <c r="D143" s="3" t="s">
        <v>835</v>
      </c>
      <c r="E143" s="3" t="s">
        <v>836</v>
      </c>
      <c r="F143" s="3" t="s">
        <v>21</v>
      </c>
      <c r="G143" s="3" t="s">
        <v>22</v>
      </c>
      <c r="H143" s="3" t="s">
        <v>24</v>
      </c>
      <c r="I143" s="3" t="s">
        <v>24</v>
      </c>
      <c r="J143" s="3" t="s">
        <v>25</v>
      </c>
      <c r="K143" s="1">
        <f t="shared" si="6"/>
        <v>5</v>
      </c>
      <c r="L143" s="1" t="str">
        <f>VLOOKUP(K143,List!$B$1:$D$10,2,0)</f>
        <v>Gastos</v>
      </c>
      <c r="M143" s="1" t="str">
        <f>VLOOKUP(K143,List!$B$1:$D$10,3,0)</f>
        <v>Resultado</v>
      </c>
      <c r="N143" s="1" t="str">
        <f t="shared" si="7"/>
        <v>51</v>
      </c>
      <c r="O143" s="1" t="str">
        <f>VLOOKUP(N143,List!$F$1:$G$36,2,0)</f>
        <v>Administrativos</v>
      </c>
      <c r="P143" s="1" t="str">
        <f t="shared" si="8"/>
        <v>5105</v>
      </c>
      <c r="Q143" s="1" t="str">
        <f>VLOOKUP(P143,PUC!$A$7:$B$869,2,0)</f>
        <v xml:space="preserve">Gastos de personal</v>
      </c>
      <c r="R143" s="6" t="s">
        <v>1423</v>
      </c>
      <c r="S143" s="6">
        <f>VLOOKUP(N143,List!$F:$H,3,0)</f>
        <v>0</v>
      </c>
    </row>
    <row r="144">
      <c r="A144" s="1">
        <v>476</v>
      </c>
      <c r="B144" s="3" t="s">
        <v>855</v>
      </c>
      <c r="C144" s="3" t="s">
        <v>220</v>
      </c>
      <c r="D144" s="3" t="s">
        <v>835</v>
      </c>
      <c r="E144" s="3" t="s">
        <v>836</v>
      </c>
      <c r="F144" s="3" t="s">
        <v>21</v>
      </c>
      <c r="G144" s="3" t="s">
        <v>22</v>
      </c>
      <c r="H144" s="3" t="s">
        <v>23</v>
      </c>
      <c r="I144" s="3" t="s">
        <v>24</v>
      </c>
      <c r="J144" s="3" t="s">
        <v>25</v>
      </c>
      <c r="K144" s="1">
        <f t="shared" si="6"/>
        <v>5</v>
      </c>
      <c r="L144" s="1" t="str">
        <f>VLOOKUP(K144,List!$B$1:$D$10,2,0)</f>
        <v>Gastos</v>
      </c>
      <c r="M144" s="1" t="str">
        <f>VLOOKUP(K144,List!$B$1:$D$10,3,0)</f>
        <v>Resultado</v>
      </c>
      <c r="N144" s="1" t="str">
        <f t="shared" si="7"/>
        <v>51</v>
      </c>
      <c r="O144" s="1" t="str">
        <f>VLOOKUP(N144,List!$F$1:$G$36,2,0)</f>
        <v>Administrativos</v>
      </c>
      <c r="P144" s="1" t="str">
        <f t="shared" si="8"/>
        <v>5105</v>
      </c>
      <c r="Q144" s="1" t="str">
        <f>VLOOKUP(P144,PUC!$A$7:$B$869,2,0)</f>
        <v xml:space="preserve">Gastos de personal</v>
      </c>
      <c r="R144" s="6" t="s">
        <v>1423</v>
      </c>
      <c r="S144" s="6">
        <f>VLOOKUP(N144,List!$F:$H,3,0)</f>
        <v>0</v>
      </c>
    </row>
    <row r="145">
      <c r="A145" s="1">
        <v>477</v>
      </c>
      <c r="B145" s="3" t="s">
        <v>856</v>
      </c>
      <c r="C145" s="3" t="s">
        <v>857</v>
      </c>
      <c r="D145" s="3" t="s">
        <v>835</v>
      </c>
      <c r="E145" s="3" t="s">
        <v>836</v>
      </c>
      <c r="F145" s="3" t="s">
        <v>21</v>
      </c>
      <c r="G145" s="3" t="s">
        <v>22</v>
      </c>
      <c r="H145" s="3" t="s">
        <v>24</v>
      </c>
      <c r="I145" s="3" t="s">
        <v>24</v>
      </c>
      <c r="J145" s="3" t="s">
        <v>25</v>
      </c>
      <c r="K145" s="1">
        <f t="shared" si="6"/>
        <v>5</v>
      </c>
      <c r="L145" s="1" t="str">
        <f>VLOOKUP(K145,List!$B$1:$D$10,2,0)</f>
        <v>Gastos</v>
      </c>
      <c r="M145" s="1" t="str">
        <f>VLOOKUP(K145,List!$B$1:$D$10,3,0)</f>
        <v>Resultado</v>
      </c>
      <c r="N145" s="1" t="str">
        <f t="shared" si="7"/>
        <v>51</v>
      </c>
      <c r="O145" s="1" t="str">
        <f>VLOOKUP(N145,List!$F$1:$G$36,2,0)</f>
        <v>Administrativos</v>
      </c>
      <c r="P145" s="1" t="str">
        <f t="shared" si="8"/>
        <v>5105</v>
      </c>
      <c r="Q145" s="1" t="str">
        <f>VLOOKUP(P145,PUC!$A$7:$B$869,2,0)</f>
        <v xml:space="preserve">Gastos de personal</v>
      </c>
      <c r="R145" s="6" t="s">
        <v>1423</v>
      </c>
      <c r="S145" s="6">
        <f>VLOOKUP(N145,List!$F:$H,3,0)</f>
        <v>0</v>
      </c>
    </row>
    <row r="146">
      <c r="A146" s="1">
        <v>479</v>
      </c>
      <c r="B146" s="3" t="s">
        <v>860</v>
      </c>
      <c r="C146" s="3" t="s">
        <v>859</v>
      </c>
      <c r="D146" s="3" t="s">
        <v>835</v>
      </c>
      <c r="E146" s="3" t="s">
        <v>836</v>
      </c>
      <c r="F146" s="3" t="s">
        <v>21</v>
      </c>
      <c r="G146" s="3" t="s">
        <v>22</v>
      </c>
      <c r="H146" s="3" t="s">
        <v>23</v>
      </c>
      <c r="I146" s="3" t="s">
        <v>24</v>
      </c>
      <c r="J146" s="3" t="s">
        <v>25</v>
      </c>
      <c r="K146" s="1">
        <f t="shared" si="6"/>
        <v>5</v>
      </c>
      <c r="L146" s="1" t="str">
        <f>VLOOKUP(K146,List!$B$1:$D$10,2,0)</f>
        <v>Gastos</v>
      </c>
      <c r="M146" s="1" t="str">
        <f>VLOOKUP(K146,List!$B$1:$D$10,3,0)</f>
        <v>Resultado</v>
      </c>
      <c r="N146" s="1" t="str">
        <f t="shared" si="7"/>
        <v>51</v>
      </c>
      <c r="O146" s="1" t="str">
        <f>VLOOKUP(N146,List!$F$1:$G$36,2,0)</f>
        <v>Administrativos</v>
      </c>
      <c r="P146" s="1" t="str">
        <f t="shared" si="8"/>
        <v>5105</v>
      </c>
      <c r="Q146" s="1" t="str">
        <f>VLOOKUP(P146,PUC!$A$7:$B$869,2,0)</f>
        <v xml:space="preserve">Gastos de personal</v>
      </c>
      <c r="R146" s="6" t="s">
        <v>1423</v>
      </c>
      <c r="S146" s="6">
        <f>VLOOKUP(N146,List!$F:$H,3,0)</f>
        <v>0</v>
      </c>
    </row>
    <row r="147">
      <c r="A147" s="1">
        <v>480</v>
      </c>
      <c r="B147" s="3" t="s">
        <v>861</v>
      </c>
      <c r="C147" s="3" t="s">
        <v>862</v>
      </c>
      <c r="D147" s="3" t="s">
        <v>835</v>
      </c>
      <c r="E147" s="3" t="s">
        <v>836</v>
      </c>
      <c r="F147" s="3" t="s">
        <v>21</v>
      </c>
      <c r="G147" s="3" t="s">
        <v>22</v>
      </c>
      <c r="H147" s="3" t="s">
        <v>24</v>
      </c>
      <c r="I147" s="3" t="s">
        <v>24</v>
      </c>
      <c r="J147" s="3" t="s">
        <v>25</v>
      </c>
      <c r="K147" s="1">
        <f t="shared" si="6"/>
        <v>5</v>
      </c>
      <c r="L147" s="1" t="str">
        <f>VLOOKUP(K147,List!$B$1:$D$10,2,0)</f>
        <v>Gastos</v>
      </c>
      <c r="M147" s="1" t="str">
        <f>VLOOKUP(K147,List!$B$1:$D$10,3,0)</f>
        <v>Resultado</v>
      </c>
      <c r="N147" s="1" t="str">
        <f t="shared" si="7"/>
        <v>51</v>
      </c>
      <c r="O147" s="1" t="str">
        <f>VLOOKUP(N147,List!$F$1:$G$36,2,0)</f>
        <v>Administrativos</v>
      </c>
      <c r="P147" s="1" t="str">
        <f t="shared" si="8"/>
        <v>5105</v>
      </c>
      <c r="Q147" s="1" t="str">
        <f>VLOOKUP(P147,PUC!$A$7:$B$869,2,0)</f>
        <v xml:space="preserve">Gastos de personal</v>
      </c>
      <c r="R147" s="6" t="s">
        <v>1423</v>
      </c>
      <c r="S147" s="6">
        <f>VLOOKUP(N147,List!$F:$H,3,0)</f>
        <v>0</v>
      </c>
    </row>
    <row r="148">
      <c r="A148" s="1">
        <v>482</v>
      </c>
      <c r="B148" s="3" t="s">
        <v>864</v>
      </c>
      <c r="C148" s="3" t="s">
        <v>636</v>
      </c>
      <c r="D148" s="3" t="s">
        <v>835</v>
      </c>
      <c r="E148" s="3" t="s">
        <v>836</v>
      </c>
      <c r="F148" s="3" t="s">
        <v>21</v>
      </c>
      <c r="G148" s="3" t="s">
        <v>22</v>
      </c>
      <c r="H148" s="3" t="s">
        <v>23</v>
      </c>
      <c r="I148" s="3" t="s">
        <v>24</v>
      </c>
      <c r="J148" s="3" t="s">
        <v>25</v>
      </c>
      <c r="K148" s="1">
        <f t="shared" si="6"/>
        <v>5</v>
      </c>
      <c r="L148" s="1" t="str">
        <f>VLOOKUP(K148,List!$B$1:$D$10,2,0)</f>
        <v>Gastos</v>
      </c>
      <c r="M148" s="1" t="str">
        <f>VLOOKUP(K148,List!$B$1:$D$10,3,0)</f>
        <v>Resultado</v>
      </c>
      <c r="N148" s="1" t="str">
        <f t="shared" si="7"/>
        <v>51</v>
      </c>
      <c r="O148" s="1" t="str">
        <f>VLOOKUP(N148,List!$F$1:$G$36,2,0)</f>
        <v>Administrativos</v>
      </c>
      <c r="P148" s="1" t="str">
        <f t="shared" si="8"/>
        <v>5105</v>
      </c>
      <c r="Q148" s="1" t="str">
        <f>VLOOKUP(P148,PUC!$A$7:$B$869,2,0)</f>
        <v xml:space="preserve">Gastos de personal</v>
      </c>
      <c r="R148" s="6" t="s">
        <v>1423</v>
      </c>
      <c r="S148" s="6">
        <f>VLOOKUP(N148,List!$F:$H,3,0)</f>
        <v>0</v>
      </c>
    </row>
    <row r="149">
      <c r="A149" s="1">
        <v>483</v>
      </c>
      <c r="B149" s="3" t="s">
        <v>865</v>
      </c>
      <c r="C149" s="3" t="s">
        <v>866</v>
      </c>
      <c r="D149" s="3" t="s">
        <v>835</v>
      </c>
      <c r="E149" s="3" t="s">
        <v>836</v>
      </c>
      <c r="F149" s="3" t="s">
        <v>21</v>
      </c>
      <c r="G149" s="3" t="s">
        <v>22</v>
      </c>
      <c r="H149" s="3" t="s">
        <v>24</v>
      </c>
      <c r="I149" s="3" t="s">
        <v>24</v>
      </c>
      <c r="J149" s="3" t="s">
        <v>25</v>
      </c>
      <c r="K149" s="1">
        <f t="shared" si="6"/>
        <v>5</v>
      </c>
      <c r="L149" s="1" t="str">
        <f>VLOOKUP(K149,List!$B$1:$D$10,2,0)</f>
        <v>Gastos</v>
      </c>
      <c r="M149" s="1" t="str">
        <f>VLOOKUP(K149,List!$B$1:$D$10,3,0)</f>
        <v>Resultado</v>
      </c>
      <c r="N149" s="1" t="str">
        <f t="shared" si="7"/>
        <v>51</v>
      </c>
      <c r="O149" s="1" t="str">
        <f>VLOOKUP(N149,List!$F$1:$G$36,2,0)</f>
        <v>Administrativos</v>
      </c>
      <c r="P149" s="1" t="str">
        <f t="shared" si="8"/>
        <v>5105</v>
      </c>
      <c r="Q149" s="1" t="str">
        <f>VLOOKUP(P149,PUC!$A$7:$B$869,2,0)</f>
        <v xml:space="preserve">Gastos de personal</v>
      </c>
      <c r="R149" s="6" t="s">
        <v>1423</v>
      </c>
      <c r="S149" s="6">
        <f>VLOOKUP(N149,List!$F:$H,3,0)</f>
        <v>0</v>
      </c>
    </row>
    <row r="150">
      <c r="A150" s="1">
        <v>485</v>
      </c>
      <c r="B150" s="3" t="s">
        <v>868</v>
      </c>
      <c r="C150" s="3" t="s">
        <v>640</v>
      </c>
      <c r="D150" s="3" t="s">
        <v>835</v>
      </c>
      <c r="E150" s="3" t="s">
        <v>836</v>
      </c>
      <c r="F150" s="3" t="s">
        <v>21</v>
      </c>
      <c r="G150" s="3" t="s">
        <v>22</v>
      </c>
      <c r="H150" s="3" t="s">
        <v>23</v>
      </c>
      <c r="I150" s="3" t="s">
        <v>24</v>
      </c>
      <c r="J150" s="3" t="s">
        <v>25</v>
      </c>
      <c r="K150" s="1">
        <f t="shared" si="6"/>
        <v>5</v>
      </c>
      <c r="L150" s="1" t="str">
        <f>VLOOKUP(K150,List!$B$1:$D$10,2,0)</f>
        <v>Gastos</v>
      </c>
      <c r="M150" s="1" t="str">
        <f>VLOOKUP(K150,List!$B$1:$D$10,3,0)</f>
        <v>Resultado</v>
      </c>
      <c r="N150" s="1" t="str">
        <f t="shared" si="7"/>
        <v>51</v>
      </c>
      <c r="O150" s="1" t="str">
        <f>VLOOKUP(N150,List!$F$1:$G$36,2,0)</f>
        <v>Administrativos</v>
      </c>
      <c r="P150" s="1" t="str">
        <f t="shared" si="8"/>
        <v>5105</v>
      </c>
      <c r="Q150" s="1" t="str">
        <f>VLOOKUP(P150,PUC!$A$7:$B$869,2,0)</f>
        <v xml:space="preserve">Gastos de personal</v>
      </c>
      <c r="R150" s="6" t="s">
        <v>1423</v>
      </c>
      <c r="S150" s="6">
        <f>VLOOKUP(N150,List!$F:$H,3,0)</f>
        <v>0</v>
      </c>
    </row>
    <row r="151">
      <c r="A151" s="1">
        <v>486</v>
      </c>
      <c r="B151" s="3" t="s">
        <v>869</v>
      </c>
      <c r="C151" s="3" t="s">
        <v>870</v>
      </c>
      <c r="D151" s="3" t="s">
        <v>835</v>
      </c>
      <c r="E151" s="3" t="s">
        <v>836</v>
      </c>
      <c r="F151" s="3" t="s">
        <v>21</v>
      </c>
      <c r="G151" s="3" t="s">
        <v>22</v>
      </c>
      <c r="H151" s="3" t="s">
        <v>24</v>
      </c>
      <c r="I151" s="3" t="s">
        <v>24</v>
      </c>
      <c r="J151" s="3" t="s">
        <v>25</v>
      </c>
      <c r="K151" s="1">
        <f t="shared" si="6"/>
        <v>5</v>
      </c>
      <c r="L151" s="1" t="str">
        <f>VLOOKUP(K151,List!$B$1:$D$10,2,0)</f>
        <v>Gastos</v>
      </c>
      <c r="M151" s="1" t="str">
        <f>VLOOKUP(K151,List!$B$1:$D$10,3,0)</f>
        <v>Resultado</v>
      </c>
      <c r="N151" s="1" t="str">
        <f t="shared" si="7"/>
        <v>51</v>
      </c>
      <c r="O151" s="1" t="str">
        <f>VLOOKUP(N151,List!$F$1:$G$36,2,0)</f>
        <v>Administrativos</v>
      </c>
      <c r="P151" s="1" t="str">
        <f t="shared" si="8"/>
        <v>5105</v>
      </c>
      <c r="Q151" s="1" t="str">
        <f>VLOOKUP(P151,PUC!$A$7:$B$869,2,0)</f>
        <v xml:space="preserve">Gastos de personal</v>
      </c>
      <c r="R151" s="6" t="s">
        <v>1423</v>
      </c>
      <c r="S151" s="6">
        <f>VLOOKUP(N151,List!$F:$H,3,0)</f>
        <v>0</v>
      </c>
    </row>
    <row r="152">
      <c r="A152" s="1">
        <v>488</v>
      </c>
      <c r="B152" s="3" t="s">
        <v>872</v>
      </c>
      <c r="C152" s="3" t="s">
        <v>648</v>
      </c>
      <c r="D152" s="3" t="s">
        <v>835</v>
      </c>
      <c r="E152" s="3" t="s">
        <v>836</v>
      </c>
      <c r="F152" s="3" t="s">
        <v>21</v>
      </c>
      <c r="G152" s="3" t="s">
        <v>22</v>
      </c>
      <c r="H152" s="3" t="s">
        <v>23</v>
      </c>
      <c r="I152" s="3" t="s">
        <v>24</v>
      </c>
      <c r="J152" s="3" t="s">
        <v>25</v>
      </c>
      <c r="K152" s="1">
        <f t="shared" si="6"/>
        <v>5</v>
      </c>
      <c r="L152" s="1" t="str">
        <f>VLOOKUP(K152,List!$B$1:$D$10,2,0)</f>
        <v>Gastos</v>
      </c>
      <c r="M152" s="1" t="str">
        <f>VLOOKUP(K152,List!$B$1:$D$10,3,0)</f>
        <v>Resultado</v>
      </c>
      <c r="N152" s="1" t="str">
        <f t="shared" si="7"/>
        <v>51</v>
      </c>
      <c r="O152" s="1" t="str">
        <f>VLOOKUP(N152,List!$F$1:$G$36,2,0)</f>
        <v>Administrativos</v>
      </c>
      <c r="P152" s="1" t="str">
        <f t="shared" si="8"/>
        <v>5105</v>
      </c>
      <c r="Q152" s="1" t="str">
        <f>VLOOKUP(P152,PUC!$A$7:$B$869,2,0)</f>
        <v xml:space="preserve">Gastos de personal</v>
      </c>
      <c r="R152" s="6" t="s">
        <v>1423</v>
      </c>
      <c r="S152" s="6">
        <f>VLOOKUP(N152,List!$F:$H,3,0)</f>
        <v>0</v>
      </c>
    </row>
    <row r="153">
      <c r="A153" s="1">
        <v>489</v>
      </c>
      <c r="B153" s="3" t="s">
        <v>873</v>
      </c>
      <c r="C153" s="3" t="s">
        <v>874</v>
      </c>
      <c r="D153" s="3" t="s">
        <v>835</v>
      </c>
      <c r="E153" s="3" t="s">
        <v>836</v>
      </c>
      <c r="F153" s="3" t="s">
        <v>21</v>
      </c>
      <c r="G153" s="3" t="s">
        <v>22</v>
      </c>
      <c r="H153" s="3" t="s">
        <v>24</v>
      </c>
      <c r="I153" s="3" t="s">
        <v>24</v>
      </c>
      <c r="J153" s="3" t="s">
        <v>25</v>
      </c>
      <c r="K153" s="1">
        <f t="shared" si="6"/>
        <v>5</v>
      </c>
      <c r="L153" s="1" t="str">
        <f>VLOOKUP(K153,List!$B$1:$D$10,2,0)</f>
        <v>Gastos</v>
      </c>
      <c r="M153" s="1" t="str">
        <f>VLOOKUP(K153,List!$B$1:$D$10,3,0)</f>
        <v>Resultado</v>
      </c>
      <c r="N153" s="1" t="str">
        <f t="shared" si="7"/>
        <v>51</v>
      </c>
      <c r="O153" s="1" t="str">
        <f>VLOOKUP(N153,List!$F$1:$G$36,2,0)</f>
        <v>Administrativos</v>
      </c>
      <c r="P153" s="1" t="str">
        <f t="shared" si="8"/>
        <v>5105</v>
      </c>
      <c r="Q153" s="1" t="str">
        <f>VLOOKUP(P153,PUC!$A$7:$B$869,2,0)</f>
        <v xml:space="preserve">Gastos de personal</v>
      </c>
      <c r="R153" s="6" t="s">
        <v>1423</v>
      </c>
      <c r="S153" s="6">
        <f>VLOOKUP(N153,List!$F:$H,3,0)</f>
        <v>0</v>
      </c>
    </row>
    <row r="154">
      <c r="A154" s="1">
        <v>491</v>
      </c>
      <c r="B154" s="3" t="s">
        <v>876</v>
      </c>
      <c r="C154" s="3" t="s">
        <v>644</v>
      </c>
      <c r="D154" s="3" t="s">
        <v>835</v>
      </c>
      <c r="E154" s="3" t="s">
        <v>836</v>
      </c>
      <c r="F154" s="3" t="s">
        <v>21</v>
      </c>
      <c r="G154" s="3" t="s">
        <v>22</v>
      </c>
      <c r="H154" s="3" t="s">
        <v>23</v>
      </c>
      <c r="I154" s="3" t="s">
        <v>24</v>
      </c>
      <c r="J154" s="3" t="s">
        <v>25</v>
      </c>
      <c r="K154" s="1">
        <f t="shared" si="6"/>
        <v>5</v>
      </c>
      <c r="L154" s="1" t="str">
        <f>VLOOKUP(K154,List!$B$1:$D$10,2,0)</f>
        <v>Gastos</v>
      </c>
      <c r="M154" s="1" t="str">
        <f>VLOOKUP(K154,List!$B$1:$D$10,3,0)</f>
        <v>Resultado</v>
      </c>
      <c r="N154" s="1" t="str">
        <f t="shared" si="7"/>
        <v>51</v>
      </c>
      <c r="O154" s="1" t="str">
        <f>VLOOKUP(N154,List!$F$1:$G$36,2,0)</f>
        <v>Administrativos</v>
      </c>
      <c r="P154" s="1" t="str">
        <f t="shared" si="8"/>
        <v>5105</v>
      </c>
      <c r="Q154" s="1" t="str">
        <f>VLOOKUP(P154,PUC!$A$7:$B$869,2,0)</f>
        <v xml:space="preserve">Gastos de personal</v>
      </c>
      <c r="R154" s="6" t="s">
        <v>1423</v>
      </c>
      <c r="S154" s="6">
        <f>VLOOKUP(N154,List!$F:$H,3,0)</f>
        <v>0</v>
      </c>
    </row>
    <row r="155">
      <c r="A155" s="1">
        <v>492</v>
      </c>
      <c r="B155" s="3" t="s">
        <v>877</v>
      </c>
      <c r="C155" s="3" t="s">
        <v>878</v>
      </c>
      <c r="D155" s="3" t="s">
        <v>835</v>
      </c>
      <c r="E155" s="3" t="s">
        <v>836</v>
      </c>
      <c r="F155" s="3" t="s">
        <v>21</v>
      </c>
      <c r="G155" s="3" t="s">
        <v>22</v>
      </c>
      <c r="H155" s="3" t="s">
        <v>24</v>
      </c>
      <c r="I155" s="3" t="s">
        <v>24</v>
      </c>
      <c r="J155" s="3" t="s">
        <v>25</v>
      </c>
      <c r="K155" s="1">
        <f t="shared" si="6"/>
        <v>5</v>
      </c>
      <c r="L155" s="1" t="str">
        <f>VLOOKUP(K155,List!$B$1:$D$10,2,0)</f>
        <v>Gastos</v>
      </c>
      <c r="M155" s="1" t="str">
        <f>VLOOKUP(K155,List!$B$1:$D$10,3,0)</f>
        <v>Resultado</v>
      </c>
      <c r="N155" s="1" t="str">
        <f t="shared" si="7"/>
        <v>51</v>
      </c>
      <c r="O155" s="1" t="str">
        <f>VLOOKUP(N155,List!$F$1:$G$36,2,0)</f>
        <v>Administrativos</v>
      </c>
      <c r="P155" s="1" t="str">
        <f t="shared" si="8"/>
        <v>5105</v>
      </c>
      <c r="Q155" s="1" t="str">
        <f>VLOOKUP(P155,PUC!$A$7:$B$869,2,0)</f>
        <v xml:space="preserve">Gastos de personal</v>
      </c>
      <c r="R155" s="6" t="s">
        <v>1423</v>
      </c>
      <c r="S155" s="6">
        <f>VLOOKUP(N155,List!$F:$H,3,0)</f>
        <v>0</v>
      </c>
    </row>
    <row r="156">
      <c r="A156" s="1">
        <v>494</v>
      </c>
      <c r="B156" s="3" t="s">
        <v>881</v>
      </c>
      <c r="C156" s="3" t="s">
        <v>882</v>
      </c>
      <c r="D156" s="3" t="s">
        <v>835</v>
      </c>
      <c r="E156" s="3" t="s">
        <v>836</v>
      </c>
      <c r="F156" s="3" t="s">
        <v>21</v>
      </c>
      <c r="G156" s="3" t="s">
        <v>22</v>
      </c>
      <c r="H156" s="3" t="s">
        <v>23</v>
      </c>
      <c r="I156" s="3" t="s">
        <v>24</v>
      </c>
      <c r="J156" s="3" t="s">
        <v>25</v>
      </c>
      <c r="K156" s="1">
        <f t="shared" si="6"/>
        <v>5</v>
      </c>
      <c r="L156" s="1" t="str">
        <f>VLOOKUP(K156,List!$B$1:$D$10,2,0)</f>
        <v>Gastos</v>
      </c>
      <c r="M156" s="1" t="str">
        <f>VLOOKUP(K156,List!$B$1:$D$10,3,0)</f>
        <v>Resultado</v>
      </c>
      <c r="N156" s="1" t="str">
        <f t="shared" si="7"/>
        <v>51</v>
      </c>
      <c r="O156" s="1" t="str">
        <f>VLOOKUP(N156,List!$F$1:$G$36,2,0)</f>
        <v>Administrativos</v>
      </c>
      <c r="P156" s="1" t="str">
        <f t="shared" si="8"/>
        <v>5105</v>
      </c>
      <c r="Q156" s="1" t="str">
        <f>VLOOKUP(P156,PUC!$A$7:$B$869,2,0)</f>
        <v xml:space="preserve">Gastos de personal</v>
      </c>
      <c r="R156" s="6" t="s">
        <v>1423</v>
      </c>
      <c r="S156" s="6">
        <f>VLOOKUP(N156,List!$F:$H,3,0)</f>
        <v>0</v>
      </c>
    </row>
    <row r="157">
      <c r="A157" s="1">
        <v>495</v>
      </c>
      <c r="B157" s="3" t="s">
        <v>883</v>
      </c>
      <c r="C157" s="3" t="s">
        <v>884</v>
      </c>
      <c r="D157" s="3" t="s">
        <v>835</v>
      </c>
      <c r="E157" s="3" t="s">
        <v>836</v>
      </c>
      <c r="F157" s="3" t="s">
        <v>21</v>
      </c>
      <c r="G157" s="3" t="s">
        <v>22</v>
      </c>
      <c r="H157" s="3" t="s">
        <v>23</v>
      </c>
      <c r="I157" s="3" t="s">
        <v>24</v>
      </c>
      <c r="J157" s="3" t="s">
        <v>25</v>
      </c>
      <c r="K157" s="1">
        <f t="shared" si="6"/>
        <v>5</v>
      </c>
      <c r="L157" s="1" t="str">
        <f>VLOOKUP(K157,List!$B$1:$D$10,2,0)</f>
        <v>Gastos</v>
      </c>
      <c r="M157" s="1" t="str">
        <f>VLOOKUP(K157,List!$B$1:$D$10,3,0)</f>
        <v>Resultado</v>
      </c>
      <c r="N157" s="1" t="str">
        <f t="shared" si="7"/>
        <v>51</v>
      </c>
      <c r="O157" s="1" t="str">
        <f>VLOOKUP(N157,List!$F$1:$G$36,2,0)</f>
        <v>Administrativos</v>
      </c>
      <c r="P157" s="1" t="str">
        <f t="shared" si="8"/>
        <v>5105</v>
      </c>
      <c r="Q157" s="1" t="str">
        <f>VLOOKUP(P157,PUC!$A$7:$B$869,2,0)</f>
        <v xml:space="preserve">Gastos de personal</v>
      </c>
      <c r="R157" s="6" t="s">
        <v>1423</v>
      </c>
      <c r="S157" s="6">
        <f>VLOOKUP(N157,List!$F:$H,3,0)</f>
        <v>0</v>
      </c>
    </row>
    <row r="158">
      <c r="A158" s="1">
        <v>496</v>
      </c>
      <c r="B158" s="3" t="s">
        <v>885</v>
      </c>
      <c r="C158" s="3" t="s">
        <v>886</v>
      </c>
      <c r="D158" s="3" t="s">
        <v>835</v>
      </c>
      <c r="E158" s="3" t="s">
        <v>836</v>
      </c>
      <c r="F158" s="3" t="s">
        <v>21</v>
      </c>
      <c r="G158" s="3" t="s">
        <v>22</v>
      </c>
      <c r="H158" s="3" t="s">
        <v>24</v>
      </c>
      <c r="I158" s="3" t="s">
        <v>24</v>
      </c>
      <c r="J158" s="3" t="s">
        <v>25</v>
      </c>
      <c r="K158" s="1">
        <f t="shared" si="6"/>
        <v>5</v>
      </c>
      <c r="L158" s="1" t="str">
        <f>VLOOKUP(K158,List!$B$1:$D$10,2,0)</f>
        <v>Gastos</v>
      </c>
      <c r="M158" s="1" t="str">
        <f>VLOOKUP(K158,List!$B$1:$D$10,3,0)</f>
        <v>Resultado</v>
      </c>
      <c r="N158" s="1" t="str">
        <f t="shared" si="7"/>
        <v>51</v>
      </c>
      <c r="O158" s="1" t="str">
        <f>VLOOKUP(N158,List!$F$1:$G$36,2,0)</f>
        <v>Administrativos</v>
      </c>
      <c r="P158" s="1" t="str">
        <f t="shared" si="8"/>
        <v>5105</v>
      </c>
      <c r="Q158" s="1" t="str">
        <f>VLOOKUP(P158,PUC!$A$7:$B$869,2,0)</f>
        <v xml:space="preserve">Gastos de personal</v>
      </c>
      <c r="R158" s="6" t="s">
        <v>1423</v>
      </c>
      <c r="S158" s="6">
        <f>VLOOKUP(N158,List!$F:$H,3,0)</f>
        <v>0</v>
      </c>
    </row>
    <row r="159">
      <c r="A159" s="1">
        <v>498</v>
      </c>
      <c r="B159" s="3" t="s">
        <v>889</v>
      </c>
      <c r="C159" s="3" t="s">
        <v>888</v>
      </c>
      <c r="D159" s="3" t="s">
        <v>835</v>
      </c>
      <c r="E159" s="3" t="s">
        <v>836</v>
      </c>
      <c r="F159" s="3" t="s">
        <v>21</v>
      </c>
      <c r="G159" s="3" t="s">
        <v>22</v>
      </c>
      <c r="H159" s="3" t="s">
        <v>23</v>
      </c>
      <c r="I159" s="3" t="s">
        <v>24</v>
      </c>
      <c r="J159" s="3" t="s">
        <v>25</v>
      </c>
      <c r="K159" s="1">
        <f t="shared" si="6"/>
        <v>5</v>
      </c>
      <c r="L159" s="1" t="str">
        <f>VLOOKUP(K159,List!$B$1:$D$10,2,0)</f>
        <v>Gastos</v>
      </c>
      <c r="M159" s="1" t="str">
        <f>VLOOKUP(K159,List!$B$1:$D$10,3,0)</f>
        <v>Resultado</v>
      </c>
      <c r="N159" s="1" t="str">
        <f t="shared" si="7"/>
        <v>51</v>
      </c>
      <c r="O159" s="1" t="str">
        <f>VLOOKUP(N159,List!$F$1:$G$36,2,0)</f>
        <v>Administrativos</v>
      </c>
      <c r="P159" s="1" t="str">
        <f t="shared" si="8"/>
        <v>5105</v>
      </c>
      <c r="Q159" s="1" t="str">
        <f>VLOOKUP(P159,PUC!$A$7:$B$869,2,0)</f>
        <v xml:space="preserve">Gastos de personal</v>
      </c>
      <c r="R159" s="6" t="s">
        <v>1423</v>
      </c>
      <c r="S159" s="6">
        <f>VLOOKUP(N159,List!$F:$H,3,0)</f>
        <v>0</v>
      </c>
    </row>
    <row r="160">
      <c r="A160" s="1">
        <v>499</v>
      </c>
      <c r="B160" s="3" t="s">
        <v>890</v>
      </c>
      <c r="C160" s="3" t="s">
        <v>891</v>
      </c>
      <c r="D160" s="3" t="s">
        <v>835</v>
      </c>
      <c r="E160" s="3" t="s">
        <v>836</v>
      </c>
      <c r="F160" s="3" t="s">
        <v>21</v>
      </c>
      <c r="G160" s="3" t="s">
        <v>22</v>
      </c>
      <c r="H160" s="3" t="s">
        <v>24</v>
      </c>
      <c r="I160" s="3" t="s">
        <v>24</v>
      </c>
      <c r="J160" s="3" t="s">
        <v>25</v>
      </c>
      <c r="K160" s="1">
        <f t="shared" si="6"/>
        <v>5</v>
      </c>
      <c r="L160" s="1" t="str">
        <f>VLOOKUP(K160,List!$B$1:$D$10,2,0)</f>
        <v>Gastos</v>
      </c>
      <c r="M160" s="1" t="str">
        <f>VLOOKUP(K160,List!$B$1:$D$10,3,0)</f>
        <v>Resultado</v>
      </c>
      <c r="N160" s="1" t="str">
        <f t="shared" si="7"/>
        <v>51</v>
      </c>
      <c r="O160" s="1" t="str">
        <f>VLOOKUP(N160,List!$F$1:$G$36,2,0)</f>
        <v>Administrativos</v>
      </c>
      <c r="P160" s="1" t="str">
        <f t="shared" si="8"/>
        <v>5105</v>
      </c>
      <c r="Q160" s="1" t="str">
        <f>VLOOKUP(P160,PUC!$A$7:$B$869,2,0)</f>
        <v xml:space="preserve">Gastos de personal</v>
      </c>
      <c r="R160" s="6" t="s">
        <v>1423</v>
      </c>
      <c r="S160" s="6">
        <f>VLOOKUP(N160,List!$F:$H,3,0)</f>
        <v>0</v>
      </c>
    </row>
    <row r="161">
      <c r="A161" s="1">
        <v>501</v>
      </c>
      <c r="B161" s="3" t="s">
        <v>894</v>
      </c>
      <c r="C161" s="3" t="s">
        <v>893</v>
      </c>
      <c r="D161" s="3" t="s">
        <v>835</v>
      </c>
      <c r="E161" s="3" t="s">
        <v>836</v>
      </c>
      <c r="F161" s="3" t="s">
        <v>21</v>
      </c>
      <c r="G161" s="3" t="s">
        <v>22</v>
      </c>
      <c r="H161" s="3" t="s">
        <v>23</v>
      </c>
      <c r="I161" s="3" t="s">
        <v>24</v>
      </c>
      <c r="J161" s="3" t="s">
        <v>25</v>
      </c>
      <c r="K161" s="1">
        <f t="shared" si="6"/>
        <v>5</v>
      </c>
      <c r="L161" s="1" t="str">
        <f>VLOOKUP(K161,List!$B$1:$D$10,2,0)</f>
        <v>Gastos</v>
      </c>
      <c r="M161" s="1" t="str">
        <f>VLOOKUP(K161,List!$B$1:$D$10,3,0)</f>
        <v>Resultado</v>
      </c>
      <c r="N161" s="1" t="str">
        <f t="shared" si="7"/>
        <v>51</v>
      </c>
      <c r="O161" s="1" t="str">
        <f>VLOOKUP(N161,List!$F$1:$G$36,2,0)</f>
        <v>Administrativos</v>
      </c>
      <c r="P161" s="1" t="str">
        <f t="shared" si="8"/>
        <v>5105</v>
      </c>
      <c r="Q161" s="1" t="str">
        <f>VLOOKUP(P161,PUC!$A$7:$B$869,2,0)</f>
        <v xml:space="preserve">Gastos de personal</v>
      </c>
      <c r="R161" s="6" t="s">
        <v>1423</v>
      </c>
      <c r="S161" s="6">
        <f>VLOOKUP(N161,List!$F:$H,3,0)</f>
        <v>0</v>
      </c>
    </row>
    <row r="162">
      <c r="A162" s="1">
        <v>502</v>
      </c>
      <c r="B162" s="3" t="s">
        <v>895</v>
      </c>
      <c r="C162" s="3" t="s">
        <v>896</v>
      </c>
      <c r="D162" s="3" t="s">
        <v>835</v>
      </c>
      <c r="E162" s="3" t="s">
        <v>836</v>
      </c>
      <c r="F162" s="3" t="s">
        <v>21</v>
      </c>
      <c r="G162" s="3" t="s">
        <v>22</v>
      </c>
      <c r="H162" s="3" t="s">
        <v>24</v>
      </c>
      <c r="I162" s="3" t="s">
        <v>24</v>
      </c>
      <c r="J162" s="3" t="s">
        <v>25</v>
      </c>
      <c r="K162" s="1">
        <f t="shared" si="6"/>
        <v>5</v>
      </c>
      <c r="L162" s="1" t="str">
        <f>VLOOKUP(K162,List!$B$1:$D$10,2,0)</f>
        <v>Gastos</v>
      </c>
      <c r="M162" s="1" t="str">
        <f>VLOOKUP(K162,List!$B$1:$D$10,3,0)</f>
        <v>Resultado</v>
      </c>
      <c r="N162" s="1" t="str">
        <f t="shared" si="7"/>
        <v>51</v>
      </c>
      <c r="O162" s="1" t="str">
        <f>VLOOKUP(N162,List!$F$1:$G$36,2,0)</f>
        <v>Administrativos</v>
      </c>
      <c r="P162" s="1" t="str">
        <f t="shared" si="8"/>
        <v>5105</v>
      </c>
      <c r="Q162" s="1" t="str">
        <f>VLOOKUP(P162,PUC!$A$7:$B$869,2,0)</f>
        <v xml:space="preserve">Gastos de personal</v>
      </c>
      <c r="R162" s="6" t="s">
        <v>1423</v>
      </c>
      <c r="S162" s="6">
        <f>VLOOKUP(N162,List!$F:$H,3,0)</f>
        <v>0</v>
      </c>
    </row>
    <row r="163">
      <c r="A163" s="1">
        <v>504</v>
      </c>
      <c r="B163" s="3" t="s">
        <v>899</v>
      </c>
      <c r="C163" s="3" t="s">
        <v>898</v>
      </c>
      <c r="D163" s="3" t="s">
        <v>835</v>
      </c>
      <c r="E163" s="3" t="s">
        <v>836</v>
      </c>
      <c r="F163" s="3" t="s">
        <v>21</v>
      </c>
      <c r="G163" s="3" t="s">
        <v>22</v>
      </c>
      <c r="H163" s="3" t="s">
        <v>23</v>
      </c>
      <c r="I163" s="3" t="s">
        <v>24</v>
      </c>
      <c r="J163" s="3" t="s">
        <v>25</v>
      </c>
      <c r="K163" s="1">
        <f t="shared" si="6"/>
        <v>5</v>
      </c>
      <c r="L163" s="1" t="str">
        <f>VLOOKUP(K163,List!$B$1:$D$10,2,0)</f>
        <v>Gastos</v>
      </c>
      <c r="M163" s="1" t="str">
        <f>VLOOKUP(K163,List!$B$1:$D$10,3,0)</f>
        <v>Resultado</v>
      </c>
      <c r="N163" s="1" t="str">
        <f t="shared" si="7"/>
        <v>51</v>
      </c>
      <c r="O163" s="1" t="str">
        <f>VLOOKUP(N163,List!$F$1:$G$36,2,0)</f>
        <v>Administrativos</v>
      </c>
      <c r="P163" s="1" t="str">
        <f t="shared" si="8"/>
        <v>5105</v>
      </c>
      <c r="Q163" s="1" t="str">
        <f>VLOOKUP(P163,PUC!$A$7:$B$869,2,0)</f>
        <v xml:space="preserve">Gastos de personal</v>
      </c>
      <c r="R163" s="6" t="s">
        <v>1423</v>
      </c>
      <c r="S163" s="6">
        <f>VLOOKUP(N163,List!$F:$H,3,0)</f>
        <v>0</v>
      </c>
    </row>
    <row r="164">
      <c r="A164" s="1">
        <v>505</v>
      </c>
      <c r="B164" s="3" t="s">
        <v>900</v>
      </c>
      <c r="C164" s="3" t="s">
        <v>901</v>
      </c>
      <c r="D164" s="3" t="s">
        <v>835</v>
      </c>
      <c r="E164" s="3" t="s">
        <v>836</v>
      </c>
      <c r="F164" s="3" t="s">
        <v>21</v>
      </c>
      <c r="G164" s="3" t="s">
        <v>22</v>
      </c>
      <c r="H164" s="3" t="s">
        <v>24</v>
      </c>
      <c r="I164" s="3" t="s">
        <v>24</v>
      </c>
      <c r="J164" s="3" t="s">
        <v>25</v>
      </c>
      <c r="K164" s="1">
        <f t="shared" si="6"/>
        <v>5</v>
      </c>
      <c r="L164" s="1" t="str">
        <f>VLOOKUP(K164,List!$B$1:$D$10,2,0)</f>
        <v>Gastos</v>
      </c>
      <c r="M164" s="1" t="str">
        <f>VLOOKUP(K164,List!$B$1:$D$10,3,0)</f>
        <v>Resultado</v>
      </c>
      <c r="N164" s="1" t="str">
        <f t="shared" si="7"/>
        <v>51</v>
      </c>
      <c r="O164" s="1" t="str">
        <f>VLOOKUP(N164,List!$F$1:$G$36,2,0)</f>
        <v>Administrativos</v>
      </c>
      <c r="P164" s="1" t="str">
        <f t="shared" si="8"/>
        <v>5105</v>
      </c>
      <c r="Q164" s="1" t="str">
        <f>VLOOKUP(P164,PUC!$A$7:$B$869,2,0)</f>
        <v xml:space="preserve">Gastos de personal</v>
      </c>
      <c r="R164" s="6" t="s">
        <v>1423</v>
      </c>
      <c r="S164" s="6">
        <f>VLOOKUP(N164,List!$F:$H,3,0)</f>
        <v>0</v>
      </c>
    </row>
    <row r="165">
      <c r="A165" s="1">
        <v>507</v>
      </c>
      <c r="B165" s="3" t="s">
        <v>904</v>
      </c>
      <c r="C165" s="3" t="s">
        <v>903</v>
      </c>
      <c r="D165" s="3" t="s">
        <v>835</v>
      </c>
      <c r="E165" s="3" t="s">
        <v>836</v>
      </c>
      <c r="F165" s="3" t="s">
        <v>21</v>
      </c>
      <c r="G165" s="3" t="s">
        <v>22</v>
      </c>
      <c r="H165" s="3" t="s">
        <v>23</v>
      </c>
      <c r="I165" s="3" t="s">
        <v>24</v>
      </c>
      <c r="J165" s="3" t="s">
        <v>25</v>
      </c>
      <c r="K165" s="1">
        <f t="shared" si="6"/>
        <v>5</v>
      </c>
      <c r="L165" s="1" t="str">
        <f>VLOOKUP(K165,List!$B$1:$D$10,2,0)</f>
        <v>Gastos</v>
      </c>
      <c r="M165" s="1" t="str">
        <f>VLOOKUP(K165,List!$B$1:$D$10,3,0)</f>
        <v>Resultado</v>
      </c>
      <c r="N165" s="1" t="str">
        <f t="shared" si="7"/>
        <v>51</v>
      </c>
      <c r="O165" s="1" t="str">
        <f>VLOOKUP(N165,List!$F$1:$G$36,2,0)</f>
        <v>Administrativos</v>
      </c>
      <c r="P165" s="1" t="str">
        <f t="shared" si="8"/>
        <v>5105</v>
      </c>
      <c r="Q165" s="1" t="str">
        <f>VLOOKUP(P165,PUC!$A$7:$B$869,2,0)</f>
        <v xml:space="preserve">Gastos de personal</v>
      </c>
      <c r="R165" s="6" t="s">
        <v>1423</v>
      </c>
      <c r="S165" s="6">
        <f>VLOOKUP(N165,List!$F:$H,3,0)</f>
        <v>0</v>
      </c>
    </row>
    <row r="166">
      <c r="A166" s="1">
        <v>508</v>
      </c>
      <c r="B166" s="3" t="s">
        <v>905</v>
      </c>
      <c r="C166" s="3" t="s">
        <v>906</v>
      </c>
      <c r="D166" s="3" t="s">
        <v>835</v>
      </c>
      <c r="E166" s="3" t="s">
        <v>836</v>
      </c>
      <c r="F166" s="3" t="s">
        <v>21</v>
      </c>
      <c r="G166" s="3" t="s">
        <v>22</v>
      </c>
      <c r="H166" s="3" t="s">
        <v>24</v>
      </c>
      <c r="I166" s="3" t="s">
        <v>24</v>
      </c>
      <c r="J166" s="3" t="s">
        <v>25</v>
      </c>
      <c r="K166" s="1">
        <f t="shared" si="6"/>
        <v>5</v>
      </c>
      <c r="L166" s="1" t="str">
        <f>VLOOKUP(K166,List!$B$1:$D$10,2,0)</f>
        <v>Gastos</v>
      </c>
      <c r="M166" s="1" t="str">
        <f>VLOOKUP(K166,List!$B$1:$D$10,3,0)</f>
        <v>Resultado</v>
      </c>
      <c r="N166" s="1" t="str">
        <f t="shared" si="7"/>
        <v>51</v>
      </c>
      <c r="O166" s="1" t="str">
        <f>VLOOKUP(N166,List!$F$1:$G$36,2,0)</f>
        <v>Administrativos</v>
      </c>
      <c r="P166" s="1" t="str">
        <f t="shared" si="8"/>
        <v>5105</v>
      </c>
      <c r="Q166" s="1" t="str">
        <f>VLOOKUP(P166,PUC!$A$7:$B$869,2,0)</f>
        <v xml:space="preserve">Gastos de personal</v>
      </c>
      <c r="R166" s="6" t="s">
        <v>1423</v>
      </c>
      <c r="S166" s="6">
        <f>VLOOKUP(N166,List!$F:$H,3,0)</f>
        <v>0</v>
      </c>
    </row>
    <row r="167">
      <c r="A167" s="1">
        <v>510</v>
      </c>
      <c r="B167" s="3" t="s">
        <v>909</v>
      </c>
      <c r="C167" s="3" t="s">
        <v>908</v>
      </c>
      <c r="D167" s="3" t="s">
        <v>835</v>
      </c>
      <c r="E167" s="3" t="s">
        <v>836</v>
      </c>
      <c r="F167" s="3" t="s">
        <v>21</v>
      </c>
      <c r="G167" s="3" t="s">
        <v>22</v>
      </c>
      <c r="H167" s="3" t="s">
        <v>23</v>
      </c>
      <c r="I167" s="3" t="s">
        <v>24</v>
      </c>
      <c r="J167" s="3" t="s">
        <v>25</v>
      </c>
      <c r="K167" s="1">
        <f t="shared" si="6"/>
        <v>5</v>
      </c>
      <c r="L167" s="1" t="str">
        <f>VLOOKUP(K167,List!$B$1:$D$10,2,0)</f>
        <v>Gastos</v>
      </c>
      <c r="M167" s="1" t="str">
        <f>VLOOKUP(K167,List!$B$1:$D$10,3,0)</f>
        <v>Resultado</v>
      </c>
      <c r="N167" s="1" t="str">
        <f t="shared" si="7"/>
        <v>51</v>
      </c>
      <c r="O167" s="1" t="str">
        <f>VLOOKUP(N167,List!$F$1:$G$36,2,0)</f>
        <v>Administrativos</v>
      </c>
      <c r="P167" s="1" t="str">
        <f t="shared" si="8"/>
        <v>5105</v>
      </c>
      <c r="Q167" s="1" t="str">
        <f>VLOOKUP(P167,PUC!$A$7:$B$869,2,0)</f>
        <v xml:space="preserve">Gastos de personal</v>
      </c>
      <c r="R167" s="6" t="s">
        <v>1423</v>
      </c>
      <c r="S167" s="6">
        <f>VLOOKUP(N167,List!$F:$H,3,0)</f>
        <v>0</v>
      </c>
    </row>
    <row r="168">
      <c r="A168" s="1">
        <v>511</v>
      </c>
      <c r="B168" s="3" t="s">
        <v>910</v>
      </c>
      <c r="C168" s="3" t="s">
        <v>911</v>
      </c>
      <c r="D168" s="3" t="s">
        <v>835</v>
      </c>
      <c r="E168" s="3" t="s">
        <v>836</v>
      </c>
      <c r="F168" s="3" t="s">
        <v>21</v>
      </c>
      <c r="G168" s="3" t="s">
        <v>22</v>
      </c>
      <c r="H168" s="3" t="s">
        <v>24</v>
      </c>
      <c r="I168" s="3" t="s">
        <v>24</v>
      </c>
      <c r="J168" s="3" t="s">
        <v>25</v>
      </c>
      <c r="K168" s="1">
        <f t="shared" si="6"/>
        <v>5</v>
      </c>
      <c r="L168" s="1" t="str">
        <f>VLOOKUP(K168,List!$B$1:$D$10,2,0)</f>
        <v>Gastos</v>
      </c>
      <c r="M168" s="1" t="str">
        <f>VLOOKUP(K168,List!$B$1:$D$10,3,0)</f>
        <v>Resultado</v>
      </c>
      <c r="N168" s="1" t="str">
        <f t="shared" si="7"/>
        <v>51</v>
      </c>
      <c r="O168" s="1" t="str">
        <f>VLOOKUP(N168,List!$F$1:$G$36,2,0)</f>
        <v>Administrativos</v>
      </c>
      <c r="P168" s="1" t="str">
        <f t="shared" si="8"/>
        <v>5105</v>
      </c>
      <c r="Q168" s="1" t="str">
        <f>VLOOKUP(P168,PUC!$A$7:$B$869,2,0)</f>
        <v xml:space="preserve">Gastos de personal</v>
      </c>
      <c r="R168" s="6" t="s">
        <v>1423</v>
      </c>
      <c r="S168" s="6">
        <f>VLOOKUP(N168,List!$F:$H,3,0)</f>
        <v>0</v>
      </c>
    </row>
    <row r="169">
      <c r="A169" s="1">
        <v>513</v>
      </c>
      <c r="B169" s="3" t="s">
        <v>914</v>
      </c>
      <c r="C169" s="3" t="s">
        <v>913</v>
      </c>
      <c r="D169" s="3" t="s">
        <v>835</v>
      </c>
      <c r="E169" s="3" t="s">
        <v>836</v>
      </c>
      <c r="F169" s="3" t="s">
        <v>21</v>
      </c>
      <c r="G169" s="3" t="s">
        <v>22</v>
      </c>
      <c r="H169" s="3" t="s">
        <v>23</v>
      </c>
      <c r="I169" s="3" t="s">
        <v>24</v>
      </c>
      <c r="J169" s="3" t="s">
        <v>25</v>
      </c>
      <c r="K169" s="1">
        <f t="shared" si="6"/>
        <v>5</v>
      </c>
      <c r="L169" s="1" t="str">
        <f>VLOOKUP(K169,List!$B$1:$D$10,2,0)</f>
        <v>Gastos</v>
      </c>
      <c r="M169" s="1" t="str">
        <f>VLOOKUP(K169,List!$B$1:$D$10,3,0)</f>
        <v>Resultado</v>
      </c>
      <c r="N169" s="1" t="str">
        <f t="shared" si="7"/>
        <v>51</v>
      </c>
      <c r="O169" s="1" t="str">
        <f>VLOOKUP(N169,List!$F$1:$G$36,2,0)</f>
        <v>Administrativos</v>
      </c>
      <c r="P169" s="1" t="str">
        <f t="shared" si="8"/>
        <v>5105</v>
      </c>
      <c r="Q169" s="1" t="str">
        <f>VLOOKUP(P169,PUC!$A$7:$B$869,2,0)</f>
        <v xml:space="preserve">Gastos de personal</v>
      </c>
      <c r="R169" s="6" t="s">
        <v>1423</v>
      </c>
      <c r="S169" s="6">
        <f>VLOOKUP(N169,List!$F:$H,3,0)</f>
        <v>0</v>
      </c>
    </row>
    <row r="170">
      <c r="A170" s="1">
        <v>514</v>
      </c>
      <c r="B170" s="3" t="s">
        <v>915</v>
      </c>
      <c r="C170" s="3" t="s">
        <v>916</v>
      </c>
      <c r="D170" s="3" t="s">
        <v>835</v>
      </c>
      <c r="E170" s="3" t="s">
        <v>836</v>
      </c>
      <c r="F170" s="3" t="s">
        <v>21</v>
      </c>
      <c r="G170" s="3" t="s">
        <v>22</v>
      </c>
      <c r="H170" s="3" t="s">
        <v>24</v>
      </c>
      <c r="I170" s="3" t="s">
        <v>24</v>
      </c>
      <c r="J170" s="3" t="s">
        <v>25</v>
      </c>
      <c r="K170" s="1">
        <f t="shared" si="6"/>
        <v>5</v>
      </c>
      <c r="L170" s="1" t="str">
        <f>VLOOKUP(K170,List!$B$1:$D$10,2,0)</f>
        <v>Gastos</v>
      </c>
      <c r="M170" s="1" t="str">
        <f>VLOOKUP(K170,List!$B$1:$D$10,3,0)</f>
        <v>Resultado</v>
      </c>
      <c r="N170" s="1" t="str">
        <f t="shared" si="7"/>
        <v>51</v>
      </c>
      <c r="O170" s="1" t="str">
        <f>VLOOKUP(N170,List!$F$1:$G$36,2,0)</f>
        <v>Administrativos</v>
      </c>
      <c r="P170" s="1" t="str">
        <f t="shared" si="8"/>
        <v>5105</v>
      </c>
      <c r="Q170" s="1" t="str">
        <f>VLOOKUP(P170,PUC!$A$7:$B$869,2,0)</f>
        <v xml:space="preserve">Gastos de personal</v>
      </c>
      <c r="R170" s="6" t="s">
        <v>1423</v>
      </c>
      <c r="S170" s="6">
        <f>VLOOKUP(N170,List!$F:$H,3,0)</f>
        <v>0</v>
      </c>
    </row>
    <row r="171">
      <c r="A171" s="1">
        <v>516</v>
      </c>
      <c r="B171" s="3" t="s">
        <v>918</v>
      </c>
      <c r="C171" s="3" t="s">
        <v>525</v>
      </c>
      <c r="D171" s="3" t="s">
        <v>835</v>
      </c>
      <c r="E171" s="3" t="s">
        <v>836</v>
      </c>
      <c r="F171" s="3" t="s">
        <v>21</v>
      </c>
      <c r="G171" s="3" t="s">
        <v>22</v>
      </c>
      <c r="H171" s="3" t="s">
        <v>23</v>
      </c>
      <c r="I171" s="3" t="s">
        <v>24</v>
      </c>
      <c r="J171" s="3" t="s">
        <v>25</v>
      </c>
      <c r="K171" s="1">
        <f t="shared" si="6"/>
        <v>5</v>
      </c>
      <c r="L171" s="1" t="str">
        <f>VLOOKUP(K171,List!$B$1:$D$10,2,0)</f>
        <v>Gastos</v>
      </c>
      <c r="M171" s="1" t="str">
        <f>VLOOKUP(K171,List!$B$1:$D$10,3,0)</f>
        <v>Resultado</v>
      </c>
      <c r="N171" s="1" t="str">
        <f t="shared" si="7"/>
        <v>51</v>
      </c>
      <c r="O171" s="1" t="str">
        <f>VLOOKUP(N171,List!$F$1:$G$36,2,0)</f>
        <v>Administrativos</v>
      </c>
      <c r="P171" s="1" t="str">
        <f t="shared" si="8"/>
        <v>5105</v>
      </c>
      <c r="Q171" s="1" t="str">
        <f>VLOOKUP(P171,PUC!$A$7:$B$869,2,0)</f>
        <v xml:space="preserve">Gastos de personal</v>
      </c>
      <c r="R171" s="6" t="s">
        <v>1423</v>
      </c>
      <c r="S171" s="6">
        <f>VLOOKUP(N171,List!$F:$H,3,0)</f>
        <v>0</v>
      </c>
    </row>
    <row r="172">
      <c r="A172" s="1">
        <v>517</v>
      </c>
      <c r="B172" s="3" t="s">
        <v>919</v>
      </c>
      <c r="C172" s="3" t="s">
        <v>920</v>
      </c>
      <c r="D172" s="3" t="s">
        <v>835</v>
      </c>
      <c r="E172" s="3" t="s">
        <v>836</v>
      </c>
      <c r="F172" s="3" t="s">
        <v>21</v>
      </c>
      <c r="G172" s="3" t="s">
        <v>22</v>
      </c>
      <c r="H172" s="3" t="s">
        <v>24</v>
      </c>
      <c r="I172" s="3" t="s">
        <v>24</v>
      </c>
      <c r="J172" s="3" t="s">
        <v>25</v>
      </c>
      <c r="K172" s="1">
        <f t="shared" si="6"/>
        <v>5</v>
      </c>
      <c r="L172" s="1" t="str">
        <f>VLOOKUP(K172,List!$B$1:$D$10,2,0)</f>
        <v>Gastos</v>
      </c>
      <c r="M172" s="1" t="str">
        <f>VLOOKUP(K172,List!$B$1:$D$10,3,0)</f>
        <v>Resultado</v>
      </c>
      <c r="N172" s="1" t="str">
        <f t="shared" si="7"/>
        <v>51</v>
      </c>
      <c r="O172" s="1" t="str">
        <f>VLOOKUP(N172,List!$F$1:$G$36,2,0)</f>
        <v>Administrativos</v>
      </c>
      <c r="P172" s="1" t="str">
        <f t="shared" si="8"/>
        <v>5105</v>
      </c>
      <c r="Q172" s="1" t="str">
        <f>VLOOKUP(P172,PUC!$A$7:$B$869,2,0)</f>
        <v xml:space="preserve">Gastos de personal</v>
      </c>
      <c r="R172" s="6" t="s">
        <v>1423</v>
      </c>
      <c r="S172" s="6">
        <f>VLOOKUP(N172,List!$F:$H,3,0)</f>
        <v>0</v>
      </c>
    </row>
    <row r="173">
      <c r="A173" s="1">
        <v>519</v>
      </c>
      <c r="B173" s="3" t="s">
        <v>923</v>
      </c>
      <c r="C173" s="3" t="s">
        <v>922</v>
      </c>
      <c r="D173" s="3" t="s">
        <v>835</v>
      </c>
      <c r="E173" s="3" t="s">
        <v>836</v>
      </c>
      <c r="F173" s="3" t="s">
        <v>21</v>
      </c>
      <c r="G173" s="3" t="s">
        <v>22</v>
      </c>
      <c r="H173" s="3" t="s">
        <v>23</v>
      </c>
      <c r="I173" s="3" t="s">
        <v>24</v>
      </c>
      <c r="J173" s="3" t="s">
        <v>25</v>
      </c>
      <c r="K173" s="1">
        <f t="shared" si="6"/>
        <v>5</v>
      </c>
      <c r="L173" s="1" t="str">
        <f>VLOOKUP(K173,List!$B$1:$D$10,2,0)</f>
        <v>Gastos</v>
      </c>
      <c r="M173" s="1" t="str">
        <f>VLOOKUP(K173,List!$B$1:$D$10,3,0)</f>
        <v>Resultado</v>
      </c>
      <c r="N173" s="1" t="str">
        <f t="shared" si="7"/>
        <v>51</v>
      </c>
      <c r="O173" s="1" t="str">
        <f>VLOOKUP(N173,List!$F$1:$G$36,2,0)</f>
        <v>Administrativos</v>
      </c>
      <c r="P173" s="1" t="str">
        <f t="shared" si="8"/>
        <v>5105</v>
      </c>
      <c r="Q173" s="1" t="str">
        <f>VLOOKUP(P173,PUC!$A$7:$B$869,2,0)</f>
        <v xml:space="preserve">Gastos de personal</v>
      </c>
      <c r="R173" s="6" t="s">
        <v>1423</v>
      </c>
      <c r="S173" s="6">
        <f>VLOOKUP(N173,List!$F:$H,3,0)</f>
        <v>0</v>
      </c>
    </row>
    <row r="174">
      <c r="A174" s="1">
        <v>520</v>
      </c>
      <c r="B174" s="3" t="s">
        <v>924</v>
      </c>
      <c r="C174" s="3" t="s">
        <v>925</v>
      </c>
      <c r="D174" s="3" t="s">
        <v>835</v>
      </c>
      <c r="E174" s="3" t="s">
        <v>836</v>
      </c>
      <c r="F174" s="3" t="s">
        <v>21</v>
      </c>
      <c r="G174" s="3" t="s">
        <v>22</v>
      </c>
      <c r="H174" s="3" t="s">
        <v>24</v>
      </c>
      <c r="I174" s="3" t="s">
        <v>24</v>
      </c>
      <c r="J174" s="3" t="s">
        <v>25</v>
      </c>
      <c r="K174" s="1">
        <f t="shared" si="6"/>
        <v>5</v>
      </c>
      <c r="L174" s="1" t="str">
        <f>VLOOKUP(K174,List!$B$1:$D$10,2,0)</f>
        <v>Gastos</v>
      </c>
      <c r="M174" s="1" t="str">
        <f>VLOOKUP(K174,List!$B$1:$D$10,3,0)</f>
        <v>Resultado</v>
      </c>
      <c r="N174" s="1" t="str">
        <f t="shared" si="7"/>
        <v>51</v>
      </c>
      <c r="O174" s="1" t="str">
        <f>VLOOKUP(N174,List!$F$1:$G$36,2,0)</f>
        <v>Administrativos</v>
      </c>
      <c r="P174" s="1" t="str">
        <f t="shared" si="8"/>
        <v>5105</v>
      </c>
      <c r="Q174" s="1" t="str">
        <f>VLOOKUP(P174,PUC!$A$7:$B$869,2,0)</f>
        <v xml:space="preserve">Gastos de personal</v>
      </c>
      <c r="R174" s="6" t="s">
        <v>1423</v>
      </c>
      <c r="S174" s="6">
        <f>VLOOKUP(N174,List!$F:$H,3,0)</f>
        <v>0</v>
      </c>
    </row>
    <row r="175">
      <c r="A175" s="1">
        <v>522</v>
      </c>
      <c r="B175" s="3" t="s">
        <v>928</v>
      </c>
      <c r="C175" s="3" t="s">
        <v>927</v>
      </c>
      <c r="D175" s="3" t="s">
        <v>835</v>
      </c>
      <c r="E175" s="3" t="s">
        <v>836</v>
      </c>
      <c r="F175" s="3" t="s">
        <v>21</v>
      </c>
      <c r="G175" s="3" t="s">
        <v>22</v>
      </c>
      <c r="H175" s="3" t="s">
        <v>23</v>
      </c>
      <c r="I175" s="3" t="s">
        <v>24</v>
      </c>
      <c r="J175" s="3" t="s">
        <v>25</v>
      </c>
      <c r="K175" s="1">
        <f t="shared" si="6"/>
        <v>5</v>
      </c>
      <c r="L175" s="1" t="str">
        <f>VLOOKUP(K175,List!$B$1:$D$10,2,0)</f>
        <v>Gastos</v>
      </c>
      <c r="M175" s="1" t="str">
        <f>VLOOKUP(K175,List!$B$1:$D$10,3,0)</f>
        <v>Resultado</v>
      </c>
      <c r="N175" s="1" t="str">
        <f t="shared" si="7"/>
        <v>51</v>
      </c>
      <c r="O175" s="1" t="str">
        <f>VLOOKUP(N175,List!$F$1:$G$36,2,0)</f>
        <v>Administrativos</v>
      </c>
      <c r="P175" s="1" t="str">
        <f t="shared" si="8"/>
        <v>5105</v>
      </c>
      <c r="Q175" s="1" t="str">
        <f>VLOOKUP(P175,PUC!$A$7:$B$869,2,0)</f>
        <v xml:space="preserve">Gastos de personal</v>
      </c>
      <c r="R175" s="6" t="s">
        <v>1423</v>
      </c>
      <c r="S175" s="6">
        <f>VLOOKUP(N175,List!$F:$H,3,0)</f>
        <v>0</v>
      </c>
    </row>
    <row r="176">
      <c r="A176" s="1">
        <v>523</v>
      </c>
      <c r="B176" s="3" t="s">
        <v>929</v>
      </c>
      <c r="C176" s="3" t="s">
        <v>930</v>
      </c>
      <c r="D176" s="3" t="s">
        <v>835</v>
      </c>
      <c r="E176" s="3" t="s">
        <v>836</v>
      </c>
      <c r="F176" s="3" t="s">
        <v>21</v>
      </c>
      <c r="G176" s="3" t="s">
        <v>22</v>
      </c>
      <c r="H176" s="3" t="s">
        <v>24</v>
      </c>
      <c r="I176" s="3" t="s">
        <v>24</v>
      </c>
      <c r="J176" s="3" t="s">
        <v>25</v>
      </c>
      <c r="K176" s="1">
        <f t="shared" si="6"/>
        <v>5</v>
      </c>
      <c r="L176" s="1" t="str">
        <f>VLOOKUP(K176,List!$B$1:$D$10,2,0)</f>
        <v>Gastos</v>
      </c>
      <c r="M176" s="1" t="str">
        <f>VLOOKUP(K176,List!$B$1:$D$10,3,0)</f>
        <v>Resultado</v>
      </c>
      <c r="N176" s="1" t="str">
        <f t="shared" si="7"/>
        <v>51</v>
      </c>
      <c r="O176" s="1" t="str">
        <f>VLOOKUP(N176,List!$F$1:$G$36,2,0)</f>
        <v>Administrativos</v>
      </c>
      <c r="P176" s="1" t="str">
        <f t="shared" si="8"/>
        <v>5105</v>
      </c>
      <c r="Q176" s="1" t="str">
        <f>VLOOKUP(P176,PUC!$A$7:$B$869,2,0)</f>
        <v xml:space="preserve">Gastos de personal</v>
      </c>
      <c r="R176" s="6" t="s">
        <v>1423</v>
      </c>
      <c r="S176" s="6">
        <f>VLOOKUP(N176,List!$F:$H,3,0)</f>
        <v>0</v>
      </c>
    </row>
    <row r="177">
      <c r="A177" s="1">
        <v>525</v>
      </c>
      <c r="B177" s="3" t="s">
        <v>933</v>
      </c>
      <c r="C177" s="3" t="s">
        <v>932</v>
      </c>
      <c r="D177" s="3" t="s">
        <v>835</v>
      </c>
      <c r="E177" s="3" t="s">
        <v>836</v>
      </c>
      <c r="F177" s="3" t="s">
        <v>21</v>
      </c>
      <c r="G177" s="3" t="s">
        <v>22</v>
      </c>
      <c r="H177" s="3" t="s">
        <v>23</v>
      </c>
      <c r="I177" s="3" t="s">
        <v>24</v>
      </c>
      <c r="J177" s="3" t="s">
        <v>25</v>
      </c>
      <c r="K177" s="1">
        <f t="shared" si="6"/>
        <v>5</v>
      </c>
      <c r="L177" s="1" t="str">
        <f>VLOOKUP(K177,List!$B$1:$D$10,2,0)</f>
        <v>Gastos</v>
      </c>
      <c r="M177" s="1" t="str">
        <f>VLOOKUP(K177,List!$B$1:$D$10,3,0)</f>
        <v>Resultado</v>
      </c>
      <c r="N177" s="1" t="str">
        <f t="shared" si="7"/>
        <v>51</v>
      </c>
      <c r="O177" s="1" t="str">
        <f>VLOOKUP(N177,List!$F$1:$G$36,2,0)</f>
        <v>Administrativos</v>
      </c>
      <c r="P177" s="1" t="str">
        <f t="shared" si="8"/>
        <v>5105</v>
      </c>
      <c r="Q177" s="1" t="str">
        <f>VLOOKUP(P177,PUC!$A$7:$B$869,2,0)</f>
        <v xml:space="preserve">Gastos de personal</v>
      </c>
      <c r="R177" s="6" t="s">
        <v>1423</v>
      </c>
      <c r="S177" s="6">
        <f>VLOOKUP(N177,List!$F:$H,3,0)</f>
        <v>0</v>
      </c>
    </row>
    <row r="178">
      <c r="A178" s="1">
        <v>526</v>
      </c>
      <c r="B178" s="3" t="s">
        <v>934</v>
      </c>
      <c r="C178" s="3" t="s">
        <v>935</v>
      </c>
      <c r="D178" s="3" t="s">
        <v>835</v>
      </c>
      <c r="E178" s="3" t="s">
        <v>836</v>
      </c>
      <c r="F178" s="3" t="s">
        <v>21</v>
      </c>
      <c r="G178" s="3" t="s">
        <v>22</v>
      </c>
      <c r="H178" s="3" t="s">
        <v>24</v>
      </c>
      <c r="I178" s="3" t="s">
        <v>24</v>
      </c>
      <c r="J178" s="3" t="s">
        <v>25</v>
      </c>
      <c r="K178" s="1">
        <f t="shared" si="6"/>
        <v>5</v>
      </c>
      <c r="L178" s="1" t="str">
        <f>VLOOKUP(K178,List!$B$1:$D$10,2,0)</f>
        <v>Gastos</v>
      </c>
      <c r="M178" s="1" t="str">
        <f>VLOOKUP(K178,List!$B$1:$D$10,3,0)</f>
        <v>Resultado</v>
      </c>
      <c r="N178" s="1" t="str">
        <f t="shared" si="7"/>
        <v>51</v>
      </c>
      <c r="O178" s="1" t="str">
        <f>VLOOKUP(N178,List!$F$1:$G$36,2,0)</f>
        <v>Administrativos</v>
      </c>
      <c r="P178" s="1" t="str">
        <f t="shared" si="8"/>
        <v>5105</v>
      </c>
      <c r="Q178" s="1" t="str">
        <f>VLOOKUP(P178,PUC!$A$7:$B$869,2,0)</f>
        <v xml:space="preserve">Gastos de personal</v>
      </c>
      <c r="R178" s="6" t="s">
        <v>1423</v>
      </c>
      <c r="S178" s="6">
        <f>VLOOKUP(N178,List!$F:$H,3,0)</f>
        <v>0</v>
      </c>
    </row>
    <row r="179">
      <c r="A179" s="1">
        <v>528</v>
      </c>
      <c r="B179" s="3" t="s">
        <v>938</v>
      </c>
      <c r="C179" s="3" t="s">
        <v>937</v>
      </c>
      <c r="D179" s="3" t="s">
        <v>835</v>
      </c>
      <c r="E179" s="3" t="s">
        <v>836</v>
      </c>
      <c r="F179" s="3" t="s">
        <v>21</v>
      </c>
      <c r="G179" s="3" t="s">
        <v>22</v>
      </c>
      <c r="H179" s="3" t="s">
        <v>23</v>
      </c>
      <c r="I179" s="3" t="s">
        <v>24</v>
      </c>
      <c r="J179" s="3" t="s">
        <v>25</v>
      </c>
      <c r="K179" s="1">
        <f t="shared" si="6"/>
        <v>5</v>
      </c>
      <c r="L179" s="1" t="str">
        <f>VLOOKUP(K179,List!$B$1:$D$10,2,0)</f>
        <v>Gastos</v>
      </c>
      <c r="M179" s="1" t="str">
        <f>VLOOKUP(K179,List!$B$1:$D$10,3,0)</f>
        <v>Resultado</v>
      </c>
      <c r="N179" s="1" t="str">
        <f t="shared" si="7"/>
        <v>51</v>
      </c>
      <c r="O179" s="1" t="str">
        <f>VLOOKUP(N179,List!$F$1:$G$36,2,0)</f>
        <v>Administrativos</v>
      </c>
      <c r="P179" s="1" t="str">
        <f t="shared" si="8"/>
        <v>5105</v>
      </c>
      <c r="Q179" s="1" t="str">
        <f>VLOOKUP(P179,PUC!$A$7:$B$869,2,0)</f>
        <v xml:space="preserve">Gastos de personal</v>
      </c>
      <c r="R179" s="6" t="s">
        <v>1423</v>
      </c>
      <c r="S179" s="6">
        <f>VLOOKUP(N179,List!$F:$H,3,0)</f>
        <v>0</v>
      </c>
    </row>
    <row r="180">
      <c r="A180" s="1">
        <v>529</v>
      </c>
      <c r="B180" s="3" t="s">
        <v>939</v>
      </c>
      <c r="C180" s="3" t="s">
        <v>940</v>
      </c>
      <c r="D180" s="3" t="s">
        <v>835</v>
      </c>
      <c r="E180" s="3" t="s">
        <v>836</v>
      </c>
      <c r="F180" s="3" t="s">
        <v>21</v>
      </c>
      <c r="G180" s="3" t="s">
        <v>22</v>
      </c>
      <c r="H180" s="3" t="s">
        <v>24</v>
      </c>
      <c r="I180" s="3" t="s">
        <v>24</v>
      </c>
      <c r="J180" s="3" t="s">
        <v>25</v>
      </c>
      <c r="K180" s="1">
        <f t="shared" si="6"/>
        <v>5</v>
      </c>
      <c r="L180" s="1" t="str">
        <f>VLOOKUP(K180,List!$B$1:$D$10,2,0)</f>
        <v>Gastos</v>
      </c>
      <c r="M180" s="1" t="str">
        <f>VLOOKUP(K180,List!$B$1:$D$10,3,0)</f>
        <v>Resultado</v>
      </c>
      <c r="N180" s="1" t="str">
        <f t="shared" si="7"/>
        <v>51</v>
      </c>
      <c r="O180" s="1" t="str">
        <f>VLOOKUP(N180,List!$F$1:$G$36,2,0)</f>
        <v>Administrativos</v>
      </c>
      <c r="P180" s="1" t="str">
        <f t="shared" si="8"/>
        <v>5105</v>
      </c>
      <c r="Q180" s="1" t="str">
        <f>VLOOKUP(P180,PUC!$A$7:$B$869,2,0)</f>
        <v xml:space="preserve">Gastos de personal</v>
      </c>
      <c r="R180" s="6" t="s">
        <v>1423</v>
      </c>
      <c r="S180" s="6">
        <f>VLOOKUP(N180,List!$F:$H,3,0)</f>
        <v>0</v>
      </c>
    </row>
    <row r="181">
      <c r="A181" s="1">
        <v>531</v>
      </c>
      <c r="B181" s="3" t="s">
        <v>943</v>
      </c>
      <c r="C181" s="3" t="s">
        <v>942</v>
      </c>
      <c r="D181" s="3" t="s">
        <v>835</v>
      </c>
      <c r="E181" s="3" t="s">
        <v>836</v>
      </c>
      <c r="F181" s="3" t="s">
        <v>21</v>
      </c>
      <c r="G181" s="3" t="s">
        <v>22</v>
      </c>
      <c r="H181" s="3" t="s">
        <v>23</v>
      </c>
      <c r="I181" s="3" t="s">
        <v>24</v>
      </c>
      <c r="J181" s="3" t="s">
        <v>25</v>
      </c>
      <c r="K181" s="1">
        <f t="shared" si="6"/>
        <v>5</v>
      </c>
      <c r="L181" s="1" t="str">
        <f>VLOOKUP(K181,List!$B$1:$D$10,2,0)</f>
        <v>Gastos</v>
      </c>
      <c r="M181" s="1" t="str">
        <f>VLOOKUP(K181,List!$B$1:$D$10,3,0)</f>
        <v>Resultado</v>
      </c>
      <c r="N181" s="1" t="str">
        <f t="shared" si="7"/>
        <v>51</v>
      </c>
      <c r="O181" s="1" t="str">
        <f>VLOOKUP(N181,List!$F$1:$G$36,2,0)</f>
        <v>Administrativos</v>
      </c>
      <c r="P181" s="1" t="str">
        <f t="shared" si="8"/>
        <v>5105</v>
      </c>
      <c r="Q181" s="1" t="str">
        <f>VLOOKUP(P181,PUC!$A$7:$B$869,2,0)</f>
        <v xml:space="preserve">Gastos de personal</v>
      </c>
      <c r="R181" s="6" t="s">
        <v>1423</v>
      </c>
      <c r="S181" s="6">
        <f>VLOOKUP(N181,List!$F:$H,3,0)</f>
        <v>0</v>
      </c>
    </row>
    <row r="182">
      <c r="A182" s="1">
        <v>532</v>
      </c>
      <c r="B182" s="3" t="s">
        <v>944</v>
      </c>
      <c r="C182" s="3" t="s">
        <v>945</v>
      </c>
      <c r="D182" s="3" t="s">
        <v>836</v>
      </c>
      <c r="E182" s="3" t="s">
        <v>836</v>
      </c>
      <c r="F182" s="3" t="s">
        <v>21</v>
      </c>
      <c r="G182" s="3" t="s">
        <v>22</v>
      </c>
      <c r="H182" s="3" t="s">
        <v>23</v>
      </c>
      <c r="I182" s="3" t="s">
        <v>24</v>
      </c>
      <c r="J182" s="3" t="s">
        <v>25</v>
      </c>
      <c r="K182" s="1">
        <f t="shared" si="6"/>
        <v>5</v>
      </c>
      <c r="L182" s="1" t="str">
        <f>VLOOKUP(K182,List!$B$1:$D$10,2,0)</f>
        <v>Gastos</v>
      </c>
      <c r="M182" s="1" t="str">
        <f>VLOOKUP(K182,List!$B$1:$D$10,3,0)</f>
        <v>Resultado</v>
      </c>
      <c r="N182" s="1" t="str">
        <f t="shared" si="7"/>
        <v>51</v>
      </c>
      <c r="O182" s="1" t="str">
        <f>VLOOKUP(N182,List!$F$1:$G$36,2,0)</f>
        <v>Administrativos</v>
      </c>
      <c r="P182" s="1" t="str">
        <f t="shared" si="8"/>
        <v>5105</v>
      </c>
      <c r="Q182" s="1" t="str">
        <f>VLOOKUP(P182,PUC!$A$7:$B$869,2,0)</f>
        <v xml:space="preserve">Gastos de personal</v>
      </c>
      <c r="R182" s="6" t="s">
        <v>1423</v>
      </c>
      <c r="S182" s="6">
        <f>VLOOKUP(N182,List!$F:$H,3,0)</f>
        <v>0</v>
      </c>
    </row>
    <row r="183">
      <c r="A183" s="1">
        <v>533</v>
      </c>
      <c r="B183" s="3" t="s">
        <v>946</v>
      </c>
      <c r="C183" s="3" t="s">
        <v>947</v>
      </c>
      <c r="D183" s="3" t="s">
        <v>835</v>
      </c>
      <c r="E183" s="3" t="s">
        <v>836</v>
      </c>
      <c r="F183" s="3" t="s">
        <v>21</v>
      </c>
      <c r="G183" s="3" t="s">
        <v>22</v>
      </c>
      <c r="H183" s="3" t="s">
        <v>24</v>
      </c>
      <c r="I183" s="3" t="s">
        <v>24</v>
      </c>
      <c r="J183" s="3" t="s">
        <v>25</v>
      </c>
      <c r="K183" s="1">
        <f t="shared" si="6"/>
        <v>5</v>
      </c>
      <c r="L183" s="1" t="str">
        <f>VLOOKUP(K183,List!$B$1:$D$10,2,0)</f>
        <v>Gastos</v>
      </c>
      <c r="M183" s="1" t="str">
        <f>VLOOKUP(K183,List!$B$1:$D$10,3,0)</f>
        <v>Resultado</v>
      </c>
      <c r="N183" s="1" t="str">
        <f t="shared" si="7"/>
        <v>51</v>
      </c>
      <c r="O183" s="1" t="str">
        <f>VLOOKUP(N183,List!$F$1:$G$36,2,0)</f>
        <v>Administrativos</v>
      </c>
      <c r="P183" s="1" t="str">
        <f t="shared" si="8"/>
        <v>5105</v>
      </c>
      <c r="Q183" s="1" t="str">
        <f>VLOOKUP(P183,PUC!$A$7:$B$869,2,0)</f>
        <v xml:space="preserve">Gastos de personal</v>
      </c>
      <c r="R183" s="6" t="s">
        <v>1423</v>
      </c>
      <c r="S183" s="6">
        <f>VLOOKUP(N183,List!$F:$H,3,0)</f>
        <v>0</v>
      </c>
    </row>
    <row r="184">
      <c r="A184" s="1">
        <v>535</v>
      </c>
      <c r="B184" s="3" t="s">
        <v>949</v>
      </c>
      <c r="C184" s="3" t="s">
        <v>950</v>
      </c>
      <c r="D184" s="3" t="s">
        <v>835</v>
      </c>
      <c r="E184" s="3" t="s">
        <v>836</v>
      </c>
      <c r="F184" s="3" t="s">
        <v>21</v>
      </c>
      <c r="G184" s="3" t="s">
        <v>22</v>
      </c>
      <c r="H184" s="3" t="s">
        <v>23</v>
      </c>
      <c r="I184" s="3" t="s">
        <v>24</v>
      </c>
      <c r="J184" s="3" t="s">
        <v>25</v>
      </c>
      <c r="K184" s="1">
        <f t="shared" si="6"/>
        <v>5</v>
      </c>
      <c r="L184" s="1" t="str">
        <f>VLOOKUP(K184,List!$B$1:$D$10,2,0)</f>
        <v>Gastos</v>
      </c>
      <c r="M184" s="1" t="str">
        <f>VLOOKUP(K184,List!$B$1:$D$10,3,0)</f>
        <v>Resultado</v>
      </c>
      <c r="N184" s="1" t="str">
        <f t="shared" si="7"/>
        <v>51</v>
      </c>
      <c r="O184" s="1" t="str">
        <f>VLOOKUP(N184,List!$F$1:$G$36,2,0)</f>
        <v>Administrativos</v>
      </c>
      <c r="P184" s="1" t="str">
        <f t="shared" si="8"/>
        <v>5105</v>
      </c>
      <c r="Q184" s="1" t="str">
        <f>VLOOKUP(P184,PUC!$A$7:$B$869,2,0)</f>
        <v xml:space="preserve">Gastos de personal</v>
      </c>
      <c r="R184" s="6" t="s">
        <v>1423</v>
      </c>
      <c r="S184" s="6">
        <f>VLOOKUP(N184,List!$F:$H,3,0)</f>
        <v>0</v>
      </c>
    </row>
    <row r="185">
      <c r="A185" s="1">
        <v>536</v>
      </c>
      <c r="B185" s="3" t="s">
        <v>951</v>
      </c>
      <c r="C185" s="3" t="s">
        <v>952</v>
      </c>
      <c r="D185" s="3" t="s">
        <v>835</v>
      </c>
      <c r="E185" s="3" t="s">
        <v>836</v>
      </c>
      <c r="F185" s="3" t="s">
        <v>21</v>
      </c>
      <c r="G185" s="3" t="s">
        <v>22</v>
      </c>
      <c r="H185" s="3" t="s">
        <v>24</v>
      </c>
      <c r="I185" s="3" t="s">
        <v>24</v>
      </c>
      <c r="J185" s="3" t="s">
        <v>25</v>
      </c>
      <c r="K185" s="1">
        <f t="shared" si="6"/>
        <v>5</v>
      </c>
      <c r="L185" s="1" t="str">
        <f>VLOOKUP(K185,List!$B$1:$D$10,2,0)</f>
        <v>Gastos</v>
      </c>
      <c r="M185" s="1" t="str">
        <f>VLOOKUP(K185,List!$B$1:$D$10,3,0)</f>
        <v>Resultado</v>
      </c>
      <c r="N185" s="1" t="str">
        <f t="shared" si="7"/>
        <v>51</v>
      </c>
      <c r="O185" s="1" t="str">
        <f>VLOOKUP(N185,List!$F$1:$G$36,2,0)</f>
        <v>Administrativos</v>
      </c>
      <c r="P185" s="1" t="str">
        <f t="shared" si="8"/>
        <v>5105</v>
      </c>
      <c r="Q185" s="1" t="str">
        <f>VLOOKUP(P185,PUC!$A$7:$B$869,2,0)</f>
        <v xml:space="preserve">Gastos de personal</v>
      </c>
      <c r="R185" s="6" t="s">
        <v>1423</v>
      </c>
      <c r="S185" s="6">
        <f>VLOOKUP(N185,List!$F:$H,3,0)</f>
        <v>0</v>
      </c>
    </row>
    <row r="186">
      <c r="A186" s="1">
        <v>539</v>
      </c>
      <c r="B186" s="3" t="s">
        <v>956</v>
      </c>
      <c r="C186" s="3" t="s">
        <v>957</v>
      </c>
      <c r="D186" s="3" t="s">
        <v>836</v>
      </c>
      <c r="E186" s="3" t="s">
        <v>836</v>
      </c>
      <c r="F186" s="3" t="s">
        <v>21</v>
      </c>
      <c r="G186" s="3" t="s">
        <v>22</v>
      </c>
      <c r="H186" s="3" t="s">
        <v>23</v>
      </c>
      <c r="I186" s="3" t="s">
        <v>24</v>
      </c>
      <c r="J186" s="3" t="s">
        <v>25</v>
      </c>
      <c r="K186" s="1">
        <f t="shared" si="6"/>
        <v>5</v>
      </c>
      <c r="L186" s="1" t="str">
        <f>VLOOKUP(K186,List!$B$1:$D$10,2,0)</f>
        <v>Gastos</v>
      </c>
      <c r="M186" s="1" t="str">
        <f>VLOOKUP(K186,List!$B$1:$D$10,3,0)</f>
        <v>Resultado</v>
      </c>
      <c r="N186" s="1" t="str">
        <f t="shared" si="7"/>
        <v>51</v>
      </c>
      <c r="O186" s="1" t="str">
        <f>VLOOKUP(N186,List!$F$1:$G$36,2,0)</f>
        <v>Administrativos</v>
      </c>
      <c r="P186" s="1" t="str">
        <f t="shared" si="8"/>
        <v>5110</v>
      </c>
      <c r="Q186" s="1" t="str">
        <f>VLOOKUP(P186,PUC!$A$7:$B$869,2,0)</f>
        <v>Honorarios</v>
      </c>
      <c r="R186" s="6" t="s">
        <v>1423</v>
      </c>
      <c r="S186" s="6">
        <f>VLOOKUP(N186,List!$F:$H,3,0)</f>
        <v>0</v>
      </c>
    </row>
    <row r="187">
      <c r="A187" s="13">
        <v>543</v>
      </c>
      <c r="B187" s="3" t="s">
        <v>964</v>
      </c>
      <c r="C187" s="3" t="s">
        <v>965</v>
      </c>
      <c r="D187" s="3" t="s">
        <v>836</v>
      </c>
      <c r="E187" s="3" t="s">
        <v>836</v>
      </c>
      <c r="F187" s="3" t="s">
        <v>21</v>
      </c>
      <c r="G187" s="3" t="s">
        <v>22</v>
      </c>
      <c r="H187" s="3" t="s">
        <v>23</v>
      </c>
      <c r="I187" s="3" t="s">
        <v>24</v>
      </c>
      <c r="J187" s="3" t="s">
        <v>25</v>
      </c>
      <c r="K187" s="13">
        <f t="shared" si="6"/>
        <v>5</v>
      </c>
      <c r="L187" s="13" t="str">
        <f>VLOOKUP(K187,List!$B$1:$D$10,2,0)</f>
        <v>Gastos</v>
      </c>
      <c r="M187" s="13" t="str">
        <f>VLOOKUP(K187,List!$B$1:$D$10,3,0)</f>
        <v>Resultado</v>
      </c>
      <c r="N187" s="1" t="str">
        <f t="shared" si="7"/>
        <v>51</v>
      </c>
      <c r="O187" s="1" t="str">
        <f>VLOOKUP(N187,List!$F$1:$G$36,2,0)</f>
        <v>Administrativos</v>
      </c>
      <c r="P187" s="1" t="str">
        <f t="shared" si="8"/>
        <v>5110</v>
      </c>
      <c r="Q187" s="1" t="str">
        <f>VLOOKUP(P187,PUC!$A$7:$B$869,2,0)</f>
        <v>Honorarios</v>
      </c>
      <c r="R187" s="6" t="s">
        <v>1423</v>
      </c>
      <c r="S187" s="6">
        <f>VLOOKUP(N187,List!$F:$H,3,0)</f>
        <v>0</v>
      </c>
    </row>
    <row r="188">
      <c r="A188" s="13">
        <v>545</v>
      </c>
      <c r="B188" s="3" t="s">
        <v>968</v>
      </c>
      <c r="C188" s="3" t="s">
        <v>967</v>
      </c>
      <c r="D188" s="3" t="s">
        <v>836</v>
      </c>
      <c r="E188" s="3" t="s">
        <v>836</v>
      </c>
      <c r="F188" s="3" t="s">
        <v>21</v>
      </c>
      <c r="G188" s="3" t="s">
        <v>22</v>
      </c>
      <c r="H188" s="3" t="s">
        <v>23</v>
      </c>
      <c r="I188" s="3" t="s">
        <v>24</v>
      </c>
      <c r="J188" s="3" t="s">
        <v>25</v>
      </c>
      <c r="K188" s="13">
        <f t="shared" si="6"/>
        <v>5</v>
      </c>
      <c r="L188" s="13" t="str">
        <f>VLOOKUP(K188,List!$B$1:$D$10,2,0)</f>
        <v>Gastos</v>
      </c>
      <c r="M188" s="13" t="str">
        <f>VLOOKUP(K188,List!$B$1:$D$10,3,0)</f>
        <v>Resultado</v>
      </c>
      <c r="N188" s="1" t="str">
        <f t="shared" si="7"/>
        <v>51</v>
      </c>
      <c r="O188" s="1" t="str">
        <f>VLOOKUP(N188,List!$F$1:$G$36,2,0)</f>
        <v>Administrativos</v>
      </c>
      <c r="P188" s="1" t="str">
        <f t="shared" si="8"/>
        <v>5110</v>
      </c>
      <c r="Q188" s="1" t="str">
        <f>VLOOKUP(P188,PUC!$A$7:$B$869,2,0)</f>
        <v>Honorarios</v>
      </c>
      <c r="R188" s="6" t="s">
        <v>1423</v>
      </c>
      <c r="S188" s="6">
        <f>VLOOKUP(N188,List!$F:$H,3,0)</f>
        <v>0</v>
      </c>
    </row>
    <row r="189">
      <c r="A189" s="13">
        <v>547</v>
      </c>
      <c r="B189" s="3" t="s">
        <v>971</v>
      </c>
      <c r="C189" s="3" t="s">
        <v>970</v>
      </c>
      <c r="D189" s="3" t="s">
        <v>836</v>
      </c>
      <c r="E189" s="3" t="s">
        <v>836</v>
      </c>
      <c r="F189" s="3" t="s">
        <v>21</v>
      </c>
      <c r="G189" s="3" t="s">
        <v>22</v>
      </c>
      <c r="H189" s="3" t="s">
        <v>23</v>
      </c>
      <c r="I189" s="3" t="s">
        <v>24</v>
      </c>
      <c r="J189" s="3" t="s">
        <v>25</v>
      </c>
      <c r="K189" s="13">
        <f t="shared" si="6"/>
        <v>5</v>
      </c>
      <c r="L189" s="13" t="str">
        <f>VLOOKUP(K189,List!$B$1:$D$10,2,0)</f>
        <v>Gastos</v>
      </c>
      <c r="M189" s="13" t="str">
        <f>VLOOKUP(K189,List!$B$1:$D$10,3,0)</f>
        <v>Resultado</v>
      </c>
      <c r="N189" s="1" t="str">
        <f t="shared" si="7"/>
        <v>51</v>
      </c>
      <c r="O189" s="1" t="str">
        <f>VLOOKUP(N189,List!$F$1:$G$36,2,0)</f>
        <v>Administrativos</v>
      </c>
      <c r="P189" s="1" t="str">
        <f t="shared" si="8"/>
        <v>5110</v>
      </c>
      <c r="Q189" s="1" t="str">
        <f>VLOOKUP(P189,PUC!$A$7:$B$869,2,0)</f>
        <v>Honorarios</v>
      </c>
      <c r="R189" s="6" t="s">
        <v>1423</v>
      </c>
      <c r="S189" s="6">
        <f>VLOOKUP(N189,List!$F:$H,3,0)</f>
        <v>0</v>
      </c>
    </row>
    <row r="190">
      <c r="A190" s="13">
        <v>550</v>
      </c>
      <c r="B190" s="3" t="s">
        <v>976</v>
      </c>
      <c r="C190" s="3" t="s">
        <v>975</v>
      </c>
      <c r="D190" s="3" t="s">
        <v>836</v>
      </c>
      <c r="E190" s="3" t="s">
        <v>836</v>
      </c>
      <c r="F190" s="3" t="s">
        <v>21</v>
      </c>
      <c r="G190" s="3" t="s">
        <v>22</v>
      </c>
      <c r="H190" s="3" t="s">
        <v>23</v>
      </c>
      <c r="I190" s="3" t="s">
        <v>24</v>
      </c>
      <c r="J190" s="3" t="s">
        <v>25</v>
      </c>
      <c r="K190" s="13">
        <f t="shared" si="6"/>
        <v>5</v>
      </c>
      <c r="L190" s="13" t="str">
        <f>VLOOKUP(K190,List!$B$1:$D$10,2,0)</f>
        <v>Gastos</v>
      </c>
      <c r="M190" s="13" t="str">
        <f>VLOOKUP(K190,List!$B$1:$D$10,3,0)</f>
        <v>Resultado</v>
      </c>
      <c r="N190" s="1" t="str">
        <f t="shared" si="7"/>
        <v>51</v>
      </c>
      <c r="O190" s="1" t="str">
        <f>VLOOKUP(N190,List!$F$1:$G$36,2,0)</f>
        <v>Administrativos</v>
      </c>
      <c r="P190" s="1" t="str">
        <f t="shared" si="8"/>
        <v>5115</v>
      </c>
      <c r="Q190" s="1" t="str">
        <f>VLOOKUP(P190,PUC!$A$7:$B$869,2,0)</f>
        <v>Impuestos</v>
      </c>
      <c r="R190" s="6" t="s">
        <v>1423</v>
      </c>
      <c r="S190" s="6">
        <f>VLOOKUP(N190,List!$F:$H,3,0)</f>
        <v>0</v>
      </c>
    </row>
    <row r="191">
      <c r="A191" s="1">
        <v>554</v>
      </c>
      <c r="B191" s="3" t="s">
        <v>983</v>
      </c>
      <c r="C191" s="3" t="s">
        <v>984</v>
      </c>
      <c r="D191" s="3" t="s">
        <v>836</v>
      </c>
      <c r="E191" s="3" t="s">
        <v>836</v>
      </c>
      <c r="F191" s="3" t="s">
        <v>21</v>
      </c>
      <c r="G191" s="3" t="s">
        <v>22</v>
      </c>
      <c r="H191" s="3" t="s">
        <v>23</v>
      </c>
      <c r="I191" s="3" t="s">
        <v>24</v>
      </c>
      <c r="J191" s="3" t="s">
        <v>25</v>
      </c>
      <c r="K191" s="1">
        <f t="shared" si="6"/>
        <v>5</v>
      </c>
      <c r="L191" s="1" t="str">
        <f>VLOOKUP(K191,List!$B$1:$D$10,2,0)</f>
        <v>Gastos</v>
      </c>
      <c r="M191" s="1" t="str">
        <f>VLOOKUP(K191,List!$B$1:$D$10,3,0)</f>
        <v>Resultado</v>
      </c>
      <c r="N191" s="1" t="str">
        <f t="shared" si="7"/>
        <v>51</v>
      </c>
      <c r="O191" s="1" t="str">
        <f>VLOOKUP(N191,List!$F$1:$G$36,2,0)</f>
        <v>Administrativos</v>
      </c>
      <c r="P191" s="1" t="str">
        <f t="shared" si="8"/>
        <v>5115</v>
      </c>
      <c r="Q191" s="1" t="str">
        <f>VLOOKUP(P191,PUC!$A$7:$B$869,2,0)</f>
        <v>Impuestos</v>
      </c>
      <c r="R191" s="6" t="s">
        <v>1423</v>
      </c>
      <c r="S191" s="6">
        <f>VLOOKUP(N191,List!$F:$H,3,0)</f>
        <v>0</v>
      </c>
    </row>
    <row r="192">
      <c r="A192" s="1">
        <v>558</v>
      </c>
      <c r="B192" s="3" t="s">
        <v>989</v>
      </c>
      <c r="C192" s="3" t="s">
        <v>990</v>
      </c>
      <c r="D192" s="3" t="s">
        <v>836</v>
      </c>
      <c r="E192" s="3" t="s">
        <v>836</v>
      </c>
      <c r="F192" s="3" t="s">
        <v>21</v>
      </c>
      <c r="G192" s="3" t="s">
        <v>22</v>
      </c>
      <c r="H192" s="3" t="s">
        <v>23</v>
      </c>
      <c r="I192" s="3" t="s">
        <v>24</v>
      </c>
      <c r="J192" s="3" t="s">
        <v>25</v>
      </c>
      <c r="K192" s="1">
        <f t="shared" si="6"/>
        <v>5</v>
      </c>
      <c r="L192" s="1" t="str">
        <f>VLOOKUP(K192,List!$B$1:$D$10,2,0)</f>
        <v>Gastos</v>
      </c>
      <c r="M192" s="1" t="str">
        <f>VLOOKUP(K192,List!$B$1:$D$10,3,0)</f>
        <v>Resultado</v>
      </c>
      <c r="N192" s="1" t="str">
        <f t="shared" si="7"/>
        <v>51</v>
      </c>
      <c r="O192" s="1" t="str">
        <f>VLOOKUP(N192,List!$F$1:$G$36,2,0)</f>
        <v>Administrativos</v>
      </c>
      <c r="P192" s="1" t="str">
        <f t="shared" si="8"/>
        <v>5120</v>
      </c>
      <c r="Q192" s="1" t="str">
        <f>VLOOKUP(P192,PUC!$A$7:$B$869,2,0)</f>
        <v>Arrendamientos</v>
      </c>
      <c r="R192" s="6" t="s">
        <v>1423</v>
      </c>
      <c r="S192" s="6">
        <f>VLOOKUP(N192,List!$F:$H,3,0)</f>
        <v>0</v>
      </c>
    </row>
    <row r="193">
      <c r="A193" s="1">
        <v>560</v>
      </c>
      <c r="B193" s="3" t="s">
        <v>992</v>
      </c>
      <c r="C193" s="3" t="s">
        <v>993</v>
      </c>
      <c r="D193" s="3" t="s">
        <v>836</v>
      </c>
      <c r="E193" s="3" t="s">
        <v>836</v>
      </c>
      <c r="F193" s="3" t="s">
        <v>21</v>
      </c>
      <c r="G193" s="3" t="s">
        <v>22</v>
      </c>
      <c r="H193" s="3" t="s">
        <v>23</v>
      </c>
      <c r="I193" s="3" t="s">
        <v>24</v>
      </c>
      <c r="J193" s="3" t="s">
        <v>25</v>
      </c>
      <c r="K193" s="1">
        <f t="shared" si="6"/>
        <v>5</v>
      </c>
      <c r="L193" s="1" t="str">
        <f>VLOOKUP(K193,List!$B$1:$D$10,2,0)</f>
        <v>Gastos</v>
      </c>
      <c r="M193" s="1" t="str">
        <f>VLOOKUP(K193,List!$B$1:$D$10,3,0)</f>
        <v>Resultado</v>
      </c>
      <c r="N193" s="1" t="str">
        <f t="shared" si="7"/>
        <v>51</v>
      </c>
      <c r="O193" s="1" t="str">
        <f>VLOOKUP(N193,List!$F$1:$G$36,2,0)</f>
        <v>Administrativos</v>
      </c>
      <c r="P193" s="1" t="str">
        <f t="shared" si="8"/>
        <v>5120</v>
      </c>
      <c r="Q193" s="1" t="str">
        <f>VLOOKUP(P193,PUC!$A$7:$B$869,2,0)</f>
        <v>Arrendamientos</v>
      </c>
      <c r="R193" s="6" t="s">
        <v>1423</v>
      </c>
      <c r="S193" s="6">
        <f>VLOOKUP(N193,List!$F:$H,3,0)</f>
        <v>0</v>
      </c>
    </row>
    <row r="194">
      <c r="A194" s="1">
        <v>562</v>
      </c>
      <c r="B194" s="3" t="s">
        <v>996</v>
      </c>
      <c r="C194" s="3" t="s">
        <v>997</v>
      </c>
      <c r="D194" s="3" t="s">
        <v>836</v>
      </c>
      <c r="E194" s="3" t="s">
        <v>836</v>
      </c>
      <c r="F194" s="3" t="s">
        <v>21</v>
      </c>
      <c r="G194" s="3" t="s">
        <v>22</v>
      </c>
      <c r="H194" s="3" t="s">
        <v>23</v>
      </c>
      <c r="I194" s="3" t="s">
        <v>24</v>
      </c>
      <c r="J194" s="3" t="s">
        <v>25</v>
      </c>
      <c r="K194" s="1">
        <f t="shared" ref="K194:K257" si="9">VALUE(LEFT(B194))</f>
        <v>5</v>
      </c>
      <c r="L194" s="1" t="str">
        <f>VLOOKUP(K194,List!$B$1:$D$10,2,0)</f>
        <v>Gastos</v>
      </c>
      <c r="M194" s="1" t="str">
        <f>VLOOKUP(K194,List!$B$1:$D$10,3,0)</f>
        <v>Resultado</v>
      </c>
      <c r="N194" s="1" t="str">
        <f t="shared" ref="N194:N257" si="10">LEFT(B194,2)</f>
        <v>51</v>
      </c>
      <c r="O194" s="1" t="str">
        <f>VLOOKUP(N194,List!$F$1:$G$36,2,0)</f>
        <v>Administrativos</v>
      </c>
      <c r="P194" s="1" t="str">
        <f t="shared" ref="P194:P257" si="11">LEFT(B194,4)</f>
        <v>5120</v>
      </c>
      <c r="Q194" s="1" t="str">
        <f>VLOOKUP(P194,PUC!$A$7:$B$869,2,0)</f>
        <v>Arrendamientos</v>
      </c>
      <c r="R194" s="6" t="s">
        <v>1423</v>
      </c>
      <c r="S194" s="6">
        <f>VLOOKUP(N194,List!$F:$H,3,0)</f>
        <v>0</v>
      </c>
    </row>
    <row r="195">
      <c r="A195" s="1">
        <v>568</v>
      </c>
      <c r="B195" s="3" t="s">
        <v>1008</v>
      </c>
      <c r="C195" s="3" t="s">
        <v>1007</v>
      </c>
      <c r="D195" s="3" t="s">
        <v>836</v>
      </c>
      <c r="E195" s="3" t="s">
        <v>836</v>
      </c>
      <c r="F195" s="3" t="s">
        <v>21</v>
      </c>
      <c r="G195" s="3" t="s">
        <v>22</v>
      </c>
      <c r="H195" s="3" t="s">
        <v>23</v>
      </c>
      <c r="I195" s="3" t="s">
        <v>24</v>
      </c>
      <c r="J195" s="3" t="s">
        <v>25</v>
      </c>
      <c r="K195" s="1">
        <f t="shared" si="9"/>
        <v>5</v>
      </c>
      <c r="L195" s="1" t="str">
        <f>VLOOKUP(K195,List!$B$1:$D$10,2,0)</f>
        <v>Gastos</v>
      </c>
      <c r="M195" s="1" t="str">
        <f>VLOOKUP(K195,List!$B$1:$D$10,3,0)</f>
        <v>Resultado</v>
      </c>
      <c r="N195" s="1" t="str">
        <f t="shared" si="10"/>
        <v>51</v>
      </c>
      <c r="O195" s="1" t="str">
        <f>VLOOKUP(N195,List!$F$1:$G$36,2,0)</f>
        <v>Administrativos</v>
      </c>
      <c r="P195" s="1" t="str">
        <f t="shared" si="11"/>
        <v>5130</v>
      </c>
      <c r="Q195" s="1" t="str">
        <f>VLOOKUP(P195,PUC!$A$7:$B$869,2,0)</f>
        <v>Seguros</v>
      </c>
      <c r="R195" s="6" t="s">
        <v>1423</v>
      </c>
      <c r="S195" s="6">
        <f>VLOOKUP(N195,List!$F:$H,3,0)</f>
        <v>0</v>
      </c>
    </row>
    <row r="196">
      <c r="A196" s="1">
        <v>572</v>
      </c>
      <c r="B196" s="3" t="s">
        <v>1015</v>
      </c>
      <c r="C196" s="3" t="s">
        <v>1016</v>
      </c>
      <c r="D196" s="3" t="s">
        <v>836</v>
      </c>
      <c r="E196" s="3" t="s">
        <v>836</v>
      </c>
      <c r="F196" s="3" t="s">
        <v>21</v>
      </c>
      <c r="G196" s="3" t="s">
        <v>22</v>
      </c>
      <c r="H196" s="3" t="s">
        <v>23</v>
      </c>
      <c r="I196" s="3" t="s">
        <v>24</v>
      </c>
      <c r="J196" s="3" t="s">
        <v>25</v>
      </c>
      <c r="K196" s="1">
        <f t="shared" si="9"/>
        <v>5</v>
      </c>
      <c r="L196" s="1" t="str">
        <f>VLOOKUP(K196,List!$B$1:$D$10,2,0)</f>
        <v>Gastos</v>
      </c>
      <c r="M196" s="1" t="str">
        <f>VLOOKUP(K196,List!$B$1:$D$10,3,0)</f>
        <v>Resultado</v>
      </c>
      <c r="N196" s="1" t="str">
        <f t="shared" si="10"/>
        <v>51</v>
      </c>
      <c r="O196" s="1" t="str">
        <f>VLOOKUP(N196,List!$F$1:$G$36,2,0)</f>
        <v>Administrativos</v>
      </c>
      <c r="P196" s="1" t="str">
        <f t="shared" si="11"/>
        <v>5130</v>
      </c>
      <c r="Q196" s="1" t="str">
        <f>VLOOKUP(P196,PUC!$A$7:$B$869,2,0)</f>
        <v>Seguros</v>
      </c>
      <c r="R196" s="6" t="s">
        <v>1423</v>
      </c>
      <c r="S196" s="6">
        <f>VLOOKUP(N196,List!$F:$H,3,0)</f>
        <v>0</v>
      </c>
    </row>
    <row r="197">
      <c r="A197" s="1">
        <v>579</v>
      </c>
      <c r="B197" s="3" t="s">
        <v>1027</v>
      </c>
      <c r="C197" s="3" t="s">
        <v>1028</v>
      </c>
      <c r="D197" s="3" t="s">
        <v>836</v>
      </c>
      <c r="E197" s="3" t="s">
        <v>836</v>
      </c>
      <c r="F197" s="3" t="s">
        <v>21</v>
      </c>
      <c r="G197" s="3" t="s">
        <v>22</v>
      </c>
      <c r="H197" s="3" t="s">
        <v>23</v>
      </c>
      <c r="I197" s="3" t="s">
        <v>24</v>
      </c>
      <c r="J197" s="3" t="s">
        <v>25</v>
      </c>
      <c r="K197" s="1">
        <f t="shared" si="9"/>
        <v>5</v>
      </c>
      <c r="L197" s="1" t="str">
        <f>VLOOKUP(K197,List!$B$1:$D$10,2,0)</f>
        <v>Gastos</v>
      </c>
      <c r="M197" s="1" t="str">
        <f>VLOOKUP(K197,List!$B$1:$D$10,3,0)</f>
        <v>Resultado</v>
      </c>
      <c r="N197" s="1" t="str">
        <f t="shared" si="10"/>
        <v>51</v>
      </c>
      <c r="O197" s="1" t="str">
        <f>VLOOKUP(N197,List!$F$1:$G$36,2,0)</f>
        <v>Administrativos</v>
      </c>
      <c r="P197" s="1" t="str">
        <f t="shared" si="11"/>
        <v>5135</v>
      </c>
      <c r="Q197" s="1" t="str">
        <f>VLOOKUP(P197,PUC!$A$7:$B$869,2,0)</f>
        <v>Servicios</v>
      </c>
      <c r="R197" s="6" t="s">
        <v>1423</v>
      </c>
      <c r="S197" s="6">
        <f>VLOOKUP(N197,List!$F:$H,3,0)</f>
        <v>0</v>
      </c>
    </row>
    <row r="198">
      <c r="A198" s="1">
        <v>581</v>
      </c>
      <c r="B198" s="3" t="s">
        <v>1031</v>
      </c>
      <c r="C198" s="3" t="s">
        <v>1030</v>
      </c>
      <c r="D198" s="3" t="s">
        <v>836</v>
      </c>
      <c r="E198" s="3" t="s">
        <v>836</v>
      </c>
      <c r="F198" s="3" t="s">
        <v>21</v>
      </c>
      <c r="G198" s="3" t="s">
        <v>22</v>
      </c>
      <c r="H198" s="3" t="s">
        <v>23</v>
      </c>
      <c r="I198" s="3" t="s">
        <v>24</v>
      </c>
      <c r="J198" s="3" t="s">
        <v>25</v>
      </c>
      <c r="K198" s="1">
        <f t="shared" si="9"/>
        <v>5</v>
      </c>
      <c r="L198" s="1" t="str">
        <f>VLOOKUP(K198,List!$B$1:$D$10,2,0)</f>
        <v>Gastos</v>
      </c>
      <c r="M198" s="1" t="str">
        <f>VLOOKUP(K198,List!$B$1:$D$10,3,0)</f>
        <v>Resultado</v>
      </c>
      <c r="N198" s="1" t="str">
        <f t="shared" si="10"/>
        <v>51</v>
      </c>
      <c r="O198" s="1" t="str">
        <f>VLOOKUP(N198,List!$F$1:$G$36,2,0)</f>
        <v>Administrativos</v>
      </c>
      <c r="P198" s="1" t="str">
        <f t="shared" si="11"/>
        <v>5135</v>
      </c>
      <c r="Q198" s="1" t="str">
        <f>VLOOKUP(P198,PUC!$A$7:$B$869,2,0)</f>
        <v>Servicios</v>
      </c>
      <c r="R198" s="6" t="s">
        <v>1423</v>
      </c>
      <c r="S198" s="6">
        <f>VLOOKUP(N198,List!$F:$H,3,0)</f>
        <v>0</v>
      </c>
    </row>
    <row r="199">
      <c r="A199" s="1">
        <v>583</v>
      </c>
      <c r="B199" s="3" t="s">
        <v>1034</v>
      </c>
      <c r="C199" s="3" t="s">
        <v>1035</v>
      </c>
      <c r="D199" s="3" t="s">
        <v>836</v>
      </c>
      <c r="E199" s="3" t="s">
        <v>836</v>
      </c>
      <c r="F199" s="3" t="s">
        <v>21</v>
      </c>
      <c r="G199" s="3" t="s">
        <v>22</v>
      </c>
      <c r="H199" s="3" t="s">
        <v>23</v>
      </c>
      <c r="I199" s="3" t="s">
        <v>24</v>
      </c>
      <c r="J199" s="3" t="s">
        <v>25</v>
      </c>
      <c r="K199" s="1">
        <f t="shared" si="9"/>
        <v>5</v>
      </c>
      <c r="L199" s="1" t="str">
        <f>VLOOKUP(K199,List!$B$1:$D$10,2,0)</f>
        <v>Gastos</v>
      </c>
      <c r="M199" s="1" t="str">
        <f>VLOOKUP(K199,List!$B$1:$D$10,3,0)</f>
        <v>Resultado</v>
      </c>
      <c r="N199" s="1" t="str">
        <f t="shared" si="10"/>
        <v>51</v>
      </c>
      <c r="O199" s="1" t="str">
        <f>VLOOKUP(N199,List!$F$1:$G$36,2,0)</f>
        <v>Administrativos</v>
      </c>
      <c r="P199" s="1" t="str">
        <f t="shared" si="11"/>
        <v>5135</v>
      </c>
      <c r="Q199" s="1" t="str">
        <f>VLOOKUP(P199,PUC!$A$7:$B$869,2,0)</f>
        <v>Servicios</v>
      </c>
      <c r="R199" s="6" t="s">
        <v>1423</v>
      </c>
      <c r="S199" s="6">
        <f>VLOOKUP(N199,List!$F:$H,3,0)</f>
        <v>0</v>
      </c>
    </row>
    <row r="200">
      <c r="A200" s="1">
        <v>585</v>
      </c>
      <c r="B200" s="3" t="s">
        <v>1038</v>
      </c>
      <c r="C200" s="3" t="s">
        <v>1039</v>
      </c>
      <c r="D200" s="3" t="s">
        <v>836</v>
      </c>
      <c r="E200" s="3" t="s">
        <v>836</v>
      </c>
      <c r="F200" s="3" t="s">
        <v>21</v>
      </c>
      <c r="G200" s="3" t="s">
        <v>22</v>
      </c>
      <c r="H200" s="3" t="s">
        <v>23</v>
      </c>
      <c r="I200" s="3" t="s">
        <v>24</v>
      </c>
      <c r="J200" s="3" t="s">
        <v>25</v>
      </c>
      <c r="K200" s="1">
        <f t="shared" si="9"/>
        <v>5</v>
      </c>
      <c r="L200" s="1" t="str">
        <f>VLOOKUP(K200,List!$B$1:$D$10,2,0)</f>
        <v>Gastos</v>
      </c>
      <c r="M200" s="1" t="str">
        <f>VLOOKUP(K200,List!$B$1:$D$10,3,0)</f>
        <v>Resultado</v>
      </c>
      <c r="N200" s="1" t="str">
        <f t="shared" si="10"/>
        <v>51</v>
      </c>
      <c r="O200" s="1" t="str">
        <f>VLOOKUP(N200,List!$F$1:$G$36,2,0)</f>
        <v>Administrativos</v>
      </c>
      <c r="P200" s="1" t="str">
        <f t="shared" si="11"/>
        <v>5135</v>
      </c>
      <c r="Q200" s="1" t="str">
        <f>VLOOKUP(P200,PUC!$A$7:$B$869,2,0)</f>
        <v>Servicios</v>
      </c>
      <c r="R200" s="6" t="s">
        <v>1423</v>
      </c>
      <c r="S200" s="6">
        <f>VLOOKUP(N200,List!$F:$H,3,0)</f>
        <v>0</v>
      </c>
    </row>
    <row r="201">
      <c r="A201" s="1">
        <v>587</v>
      </c>
      <c r="B201" s="3" t="s">
        <v>1042</v>
      </c>
      <c r="C201" s="3" t="s">
        <v>1043</v>
      </c>
      <c r="D201" s="3" t="s">
        <v>836</v>
      </c>
      <c r="E201" s="3" t="s">
        <v>836</v>
      </c>
      <c r="F201" s="3" t="s">
        <v>21</v>
      </c>
      <c r="G201" s="3" t="s">
        <v>22</v>
      </c>
      <c r="H201" s="3" t="s">
        <v>23</v>
      </c>
      <c r="I201" s="3" t="s">
        <v>24</v>
      </c>
      <c r="J201" s="3" t="s">
        <v>25</v>
      </c>
      <c r="K201" s="1">
        <f t="shared" si="9"/>
        <v>5</v>
      </c>
      <c r="L201" s="1" t="str">
        <f>VLOOKUP(K201,List!$B$1:$D$10,2,0)</f>
        <v>Gastos</v>
      </c>
      <c r="M201" s="1" t="str">
        <f>VLOOKUP(K201,List!$B$1:$D$10,3,0)</f>
        <v>Resultado</v>
      </c>
      <c r="N201" s="1" t="str">
        <f t="shared" si="10"/>
        <v>51</v>
      </c>
      <c r="O201" s="1" t="str">
        <f>VLOOKUP(N201,List!$F$1:$G$36,2,0)</f>
        <v>Administrativos</v>
      </c>
      <c r="P201" s="1" t="str">
        <f t="shared" si="11"/>
        <v>5135</v>
      </c>
      <c r="Q201" s="1" t="str">
        <f>VLOOKUP(P201,PUC!$A$7:$B$869,2,0)</f>
        <v>Servicios</v>
      </c>
      <c r="R201" s="6" t="s">
        <v>1423</v>
      </c>
      <c r="S201" s="6">
        <f>VLOOKUP(N201,List!$F:$H,3,0)</f>
        <v>0</v>
      </c>
    </row>
    <row r="202">
      <c r="A202" s="1">
        <v>589</v>
      </c>
      <c r="B202" s="3" t="s">
        <v>1046</v>
      </c>
      <c r="C202" s="3" t="s">
        <v>1047</v>
      </c>
      <c r="D202" s="3" t="s">
        <v>836</v>
      </c>
      <c r="E202" s="3" t="s">
        <v>836</v>
      </c>
      <c r="F202" s="3" t="s">
        <v>21</v>
      </c>
      <c r="G202" s="3" t="s">
        <v>22</v>
      </c>
      <c r="H202" s="3" t="s">
        <v>23</v>
      </c>
      <c r="I202" s="3" t="s">
        <v>24</v>
      </c>
      <c r="J202" s="3" t="s">
        <v>25</v>
      </c>
      <c r="K202" s="1">
        <f t="shared" si="9"/>
        <v>5</v>
      </c>
      <c r="L202" s="1" t="str">
        <f>VLOOKUP(K202,List!$B$1:$D$10,2,0)</f>
        <v>Gastos</v>
      </c>
      <c r="M202" s="1" t="str">
        <f>VLOOKUP(K202,List!$B$1:$D$10,3,0)</f>
        <v>Resultado</v>
      </c>
      <c r="N202" s="1" t="str">
        <f t="shared" si="10"/>
        <v>51</v>
      </c>
      <c r="O202" s="1" t="str">
        <f>VLOOKUP(N202,List!$F$1:$G$36,2,0)</f>
        <v>Administrativos</v>
      </c>
      <c r="P202" s="1" t="str">
        <f t="shared" si="11"/>
        <v>5135</v>
      </c>
      <c r="Q202" s="1" t="str">
        <f>VLOOKUP(P202,PUC!$A$7:$B$869,2,0)</f>
        <v>Servicios</v>
      </c>
      <c r="R202" s="6" t="s">
        <v>1423</v>
      </c>
      <c r="S202" s="6">
        <f>VLOOKUP(N202,List!$F:$H,3,0)</f>
        <v>0</v>
      </c>
    </row>
    <row r="203">
      <c r="A203" s="1">
        <v>590</v>
      </c>
      <c r="B203" s="3" t="s">
        <v>1048</v>
      </c>
      <c r="C203" s="3" t="s">
        <v>1049</v>
      </c>
      <c r="D203" s="3" t="s">
        <v>836</v>
      </c>
      <c r="E203" s="3" t="s">
        <v>836</v>
      </c>
      <c r="F203" s="3" t="s">
        <v>21</v>
      </c>
      <c r="G203" s="3" t="s">
        <v>22</v>
      </c>
      <c r="H203" s="3" t="s">
        <v>23</v>
      </c>
      <c r="I203" s="3" t="s">
        <v>24</v>
      </c>
      <c r="J203" s="3" t="s">
        <v>25</v>
      </c>
      <c r="K203" s="1">
        <f t="shared" si="9"/>
        <v>5</v>
      </c>
      <c r="L203" s="1" t="str">
        <f>VLOOKUP(K203,List!$B$1:$D$10,2,0)</f>
        <v>Gastos</v>
      </c>
      <c r="M203" s="1" t="str">
        <f>VLOOKUP(K203,List!$B$1:$D$10,3,0)</f>
        <v>Resultado</v>
      </c>
      <c r="N203" s="1" t="str">
        <f t="shared" si="10"/>
        <v>51</v>
      </c>
      <c r="O203" s="1" t="str">
        <f>VLOOKUP(N203,List!$F$1:$G$36,2,0)</f>
        <v>Administrativos</v>
      </c>
      <c r="P203" s="1" t="str">
        <f t="shared" si="11"/>
        <v>5135</v>
      </c>
      <c r="Q203" s="1" t="str">
        <f>VLOOKUP(P203,PUC!$A$7:$B$869,2,0)</f>
        <v>Servicios</v>
      </c>
      <c r="R203" s="6" t="s">
        <v>1423</v>
      </c>
      <c r="S203" s="6">
        <f>VLOOKUP(N203,List!$F:$H,3,0)</f>
        <v>0</v>
      </c>
    </row>
    <row r="204">
      <c r="A204" s="1">
        <v>594</v>
      </c>
      <c r="B204" s="3" t="s">
        <v>1056</v>
      </c>
      <c r="C204" s="3" t="s">
        <v>1057</v>
      </c>
      <c r="D204" s="3" t="s">
        <v>836</v>
      </c>
      <c r="E204" s="3" t="s">
        <v>836</v>
      </c>
      <c r="F204" s="3" t="s">
        <v>21</v>
      </c>
      <c r="G204" s="3" t="s">
        <v>22</v>
      </c>
      <c r="H204" s="3" t="s">
        <v>23</v>
      </c>
      <c r="I204" s="3" t="s">
        <v>24</v>
      </c>
      <c r="J204" s="3" t="s">
        <v>25</v>
      </c>
      <c r="K204" s="1">
        <f t="shared" si="9"/>
        <v>5</v>
      </c>
      <c r="L204" s="1" t="str">
        <f>VLOOKUP(K204,List!$B$1:$D$10,2,0)</f>
        <v>Gastos</v>
      </c>
      <c r="M204" s="1" t="str">
        <f>VLOOKUP(K204,List!$B$1:$D$10,3,0)</f>
        <v>Resultado</v>
      </c>
      <c r="N204" s="1" t="str">
        <f t="shared" si="10"/>
        <v>51</v>
      </c>
      <c r="O204" s="1" t="str">
        <f>VLOOKUP(N204,List!$F$1:$G$36,2,0)</f>
        <v>Administrativos</v>
      </c>
      <c r="P204" s="1" t="str">
        <f t="shared" si="11"/>
        <v>5135</v>
      </c>
      <c r="Q204" s="1" t="str">
        <f>VLOOKUP(P204,PUC!$A$7:$B$869,2,0)</f>
        <v>Servicios</v>
      </c>
      <c r="R204" s="6" t="s">
        <v>1423</v>
      </c>
      <c r="S204" s="6">
        <f>VLOOKUP(N204,List!$F:$H,3,0)</f>
        <v>0</v>
      </c>
    </row>
    <row r="205">
      <c r="A205" s="1">
        <v>598</v>
      </c>
      <c r="B205" s="3" t="s">
        <v>1063</v>
      </c>
      <c r="C205" s="3" t="s">
        <v>1062</v>
      </c>
      <c r="D205" s="3" t="s">
        <v>836</v>
      </c>
      <c r="E205" s="3" t="s">
        <v>836</v>
      </c>
      <c r="F205" s="3" t="s">
        <v>21</v>
      </c>
      <c r="G205" s="3" t="s">
        <v>22</v>
      </c>
      <c r="H205" s="3" t="s">
        <v>23</v>
      </c>
      <c r="I205" s="3" t="s">
        <v>24</v>
      </c>
      <c r="J205" s="3" t="s">
        <v>25</v>
      </c>
      <c r="K205" s="1">
        <f t="shared" si="9"/>
        <v>5</v>
      </c>
      <c r="L205" s="1" t="str">
        <f>VLOOKUP(K205,List!$B$1:$D$10,2,0)</f>
        <v>Gastos</v>
      </c>
      <c r="M205" s="1" t="str">
        <f>VLOOKUP(K205,List!$B$1:$D$10,3,0)</f>
        <v>Resultado</v>
      </c>
      <c r="N205" s="1" t="str">
        <f t="shared" si="10"/>
        <v>51</v>
      </c>
      <c r="O205" s="1" t="str">
        <f>VLOOKUP(N205,List!$F$1:$G$36,2,0)</f>
        <v>Administrativos</v>
      </c>
      <c r="P205" s="1" t="str">
        <f t="shared" si="11"/>
        <v>5140</v>
      </c>
      <c r="Q205" s="1" t="str">
        <f>VLOOKUP(P205,PUC!$A$7:$B$869,2,0)</f>
        <v xml:space="preserve">Gastos legales</v>
      </c>
      <c r="R205" s="6" t="s">
        <v>1423</v>
      </c>
      <c r="S205" s="6">
        <f>VLOOKUP(N205,List!$F:$H,3,0)</f>
        <v>0</v>
      </c>
    </row>
    <row r="206">
      <c r="A206" s="1">
        <v>600</v>
      </c>
      <c r="B206" s="3" t="s">
        <v>1066</v>
      </c>
      <c r="C206" s="3" t="s">
        <v>1065</v>
      </c>
      <c r="D206" s="3" t="s">
        <v>836</v>
      </c>
      <c r="E206" s="3" t="s">
        <v>836</v>
      </c>
      <c r="F206" s="3" t="s">
        <v>21</v>
      </c>
      <c r="G206" s="3" t="s">
        <v>22</v>
      </c>
      <c r="H206" s="3" t="s">
        <v>23</v>
      </c>
      <c r="I206" s="3" t="s">
        <v>24</v>
      </c>
      <c r="J206" s="3" t="s">
        <v>25</v>
      </c>
      <c r="K206" s="1">
        <f t="shared" si="9"/>
        <v>5</v>
      </c>
      <c r="L206" s="1" t="str">
        <f>VLOOKUP(K206,List!$B$1:$D$10,2,0)</f>
        <v>Gastos</v>
      </c>
      <c r="M206" s="1" t="str">
        <f>VLOOKUP(K206,List!$B$1:$D$10,3,0)</f>
        <v>Resultado</v>
      </c>
      <c r="N206" s="1" t="str">
        <f t="shared" si="10"/>
        <v>51</v>
      </c>
      <c r="O206" s="1" t="str">
        <f>VLOOKUP(N206,List!$F$1:$G$36,2,0)</f>
        <v>Administrativos</v>
      </c>
      <c r="P206" s="1" t="str">
        <f t="shared" si="11"/>
        <v>5140</v>
      </c>
      <c r="Q206" s="1" t="str">
        <f>VLOOKUP(P206,PUC!$A$7:$B$869,2,0)</f>
        <v xml:space="preserve">Gastos legales</v>
      </c>
      <c r="R206" s="6" t="s">
        <v>1423</v>
      </c>
      <c r="S206" s="6">
        <f>VLOOKUP(N206,List!$F:$H,3,0)</f>
        <v>0</v>
      </c>
    </row>
    <row r="207">
      <c r="A207" s="1">
        <v>603</v>
      </c>
      <c r="B207" s="3" t="s">
        <v>1070</v>
      </c>
      <c r="C207" s="3" t="s">
        <v>108</v>
      </c>
      <c r="D207" s="3" t="s">
        <v>836</v>
      </c>
      <c r="E207" s="3" t="s">
        <v>836</v>
      </c>
      <c r="F207" s="3" t="s">
        <v>21</v>
      </c>
      <c r="G207" s="3" t="s">
        <v>22</v>
      </c>
      <c r="H207" s="3" t="s">
        <v>23</v>
      </c>
      <c r="I207" s="3" t="s">
        <v>24</v>
      </c>
      <c r="J207" s="3" t="s">
        <v>25</v>
      </c>
      <c r="K207" s="1">
        <f t="shared" si="9"/>
        <v>5</v>
      </c>
      <c r="L207" s="1" t="str">
        <f>VLOOKUP(K207,List!$B$1:$D$10,2,0)</f>
        <v>Gastos</v>
      </c>
      <c r="M207" s="1" t="str">
        <f>VLOOKUP(K207,List!$B$1:$D$10,3,0)</f>
        <v>Resultado</v>
      </c>
      <c r="N207" s="1" t="str">
        <f t="shared" si="10"/>
        <v>51</v>
      </c>
      <c r="O207" s="1" t="str">
        <f>VLOOKUP(N207,List!$F$1:$G$36,2,0)</f>
        <v>Administrativos</v>
      </c>
      <c r="P207" s="1" t="str">
        <f t="shared" si="11"/>
        <v>5140</v>
      </c>
      <c r="Q207" s="1" t="str">
        <f>VLOOKUP(P207,PUC!$A$7:$B$869,2,0)</f>
        <v xml:space="preserve">Gastos legales</v>
      </c>
      <c r="R207" s="6" t="s">
        <v>1423</v>
      </c>
      <c r="S207" s="6">
        <f>VLOOKUP(N207,List!$F:$H,3,0)</f>
        <v>0</v>
      </c>
    </row>
    <row r="208">
      <c r="A208" s="1">
        <v>606</v>
      </c>
      <c r="B208" s="3" t="s">
        <v>1074</v>
      </c>
      <c r="C208" s="3" t="s">
        <v>1075</v>
      </c>
      <c r="D208" s="3" t="s">
        <v>836</v>
      </c>
      <c r="E208" s="3" t="s">
        <v>836</v>
      </c>
      <c r="F208" s="3" t="s">
        <v>21</v>
      </c>
      <c r="G208" s="3" t="s">
        <v>22</v>
      </c>
      <c r="H208" s="3" t="s">
        <v>23</v>
      </c>
      <c r="I208" s="3" t="s">
        <v>24</v>
      </c>
      <c r="J208" s="3" t="s">
        <v>25</v>
      </c>
      <c r="K208" s="1">
        <f t="shared" si="9"/>
        <v>5</v>
      </c>
      <c r="L208" s="1" t="str">
        <f>VLOOKUP(K208,List!$B$1:$D$10,2,0)</f>
        <v>Gastos</v>
      </c>
      <c r="M208" s="1" t="str">
        <f>VLOOKUP(K208,List!$B$1:$D$10,3,0)</f>
        <v>Resultado</v>
      </c>
      <c r="N208" s="1" t="str">
        <f t="shared" si="10"/>
        <v>51</v>
      </c>
      <c r="O208" s="1" t="str">
        <f>VLOOKUP(N208,List!$F$1:$G$36,2,0)</f>
        <v>Administrativos</v>
      </c>
      <c r="P208" s="1" t="str">
        <f t="shared" si="11"/>
        <v>5145</v>
      </c>
      <c r="Q208" s="1" t="str">
        <f>VLOOKUP(P208,PUC!$A$7:$B$869,2,0)</f>
        <v xml:space="preserve">Mantenimiento y reparaciones</v>
      </c>
      <c r="R208" s="6" t="s">
        <v>1423</v>
      </c>
      <c r="S208" s="6">
        <f>VLOOKUP(N208,List!$F:$H,3,0)</f>
        <v>0</v>
      </c>
    </row>
    <row r="209">
      <c r="A209" s="1">
        <v>608</v>
      </c>
      <c r="B209" s="3" t="s">
        <v>1077</v>
      </c>
      <c r="C209" s="3" t="s">
        <v>263</v>
      </c>
      <c r="D209" s="3" t="s">
        <v>836</v>
      </c>
      <c r="E209" s="3" t="s">
        <v>836</v>
      </c>
      <c r="F209" s="3" t="s">
        <v>21</v>
      </c>
      <c r="G209" s="3" t="s">
        <v>22</v>
      </c>
      <c r="H209" s="3" t="s">
        <v>23</v>
      </c>
      <c r="I209" s="3" t="s">
        <v>24</v>
      </c>
      <c r="J209" s="3" t="s">
        <v>25</v>
      </c>
      <c r="K209" s="1">
        <f t="shared" si="9"/>
        <v>5</v>
      </c>
      <c r="L209" s="1" t="str">
        <f>VLOOKUP(K209,List!$B$1:$D$10,2,0)</f>
        <v>Gastos</v>
      </c>
      <c r="M209" s="1" t="str">
        <f>VLOOKUP(K209,List!$B$1:$D$10,3,0)</f>
        <v>Resultado</v>
      </c>
      <c r="N209" s="1" t="str">
        <f t="shared" si="10"/>
        <v>51</v>
      </c>
      <c r="O209" s="1" t="str">
        <f>VLOOKUP(N209,List!$F$1:$G$36,2,0)</f>
        <v>Administrativos</v>
      </c>
      <c r="P209" s="1" t="str">
        <f t="shared" si="11"/>
        <v>5145</v>
      </c>
      <c r="Q209" s="1" t="str">
        <f>VLOOKUP(P209,PUC!$A$7:$B$869,2,0)</f>
        <v xml:space="preserve">Mantenimiento y reparaciones</v>
      </c>
      <c r="R209" s="6" t="s">
        <v>1423</v>
      </c>
      <c r="S209" s="6">
        <f>VLOOKUP(N209,List!$F:$H,3,0)</f>
        <v>0</v>
      </c>
    </row>
    <row r="210">
      <c r="A210" s="1">
        <v>610</v>
      </c>
      <c r="B210" s="3" t="s">
        <v>1079</v>
      </c>
      <c r="C210" s="3" t="s">
        <v>1080</v>
      </c>
      <c r="D210" s="3" t="s">
        <v>836</v>
      </c>
      <c r="E210" s="3" t="s">
        <v>836</v>
      </c>
      <c r="F210" s="3" t="s">
        <v>21</v>
      </c>
      <c r="G210" s="3" t="s">
        <v>22</v>
      </c>
      <c r="H210" s="3" t="s">
        <v>23</v>
      </c>
      <c r="I210" s="3" t="s">
        <v>24</v>
      </c>
      <c r="J210" s="3" t="s">
        <v>25</v>
      </c>
      <c r="K210" s="1">
        <f t="shared" si="9"/>
        <v>5</v>
      </c>
      <c r="L210" s="1" t="str">
        <f>VLOOKUP(K210,List!$B$1:$D$10,2,0)</f>
        <v>Gastos</v>
      </c>
      <c r="M210" s="1" t="str">
        <f>VLOOKUP(K210,List!$B$1:$D$10,3,0)</f>
        <v>Resultado</v>
      </c>
      <c r="N210" s="1" t="str">
        <f t="shared" si="10"/>
        <v>51</v>
      </c>
      <c r="O210" s="1" t="str">
        <f>VLOOKUP(N210,List!$F$1:$G$36,2,0)</f>
        <v>Administrativos</v>
      </c>
      <c r="P210" s="1" t="str">
        <f t="shared" si="11"/>
        <v>5145</v>
      </c>
      <c r="Q210" s="1" t="str">
        <f>VLOOKUP(P210,PUC!$A$7:$B$869,2,0)</f>
        <v xml:space="preserve">Mantenimiento y reparaciones</v>
      </c>
      <c r="R210" s="6" t="s">
        <v>1423</v>
      </c>
      <c r="S210" s="6">
        <f>VLOOKUP(N210,List!$F:$H,3,0)</f>
        <v>0</v>
      </c>
    </row>
    <row r="211">
      <c r="A211" s="1">
        <v>616</v>
      </c>
      <c r="B211" s="3" t="s">
        <v>1090</v>
      </c>
      <c r="C211" s="3" t="s">
        <v>1089</v>
      </c>
      <c r="D211" s="3" t="s">
        <v>836</v>
      </c>
      <c r="E211" s="3" t="s">
        <v>836</v>
      </c>
      <c r="F211" s="3" t="s">
        <v>21</v>
      </c>
      <c r="G211" s="3" t="s">
        <v>22</v>
      </c>
      <c r="H211" s="3" t="s">
        <v>23</v>
      </c>
      <c r="I211" s="3" t="s">
        <v>24</v>
      </c>
      <c r="J211" s="3" t="s">
        <v>25</v>
      </c>
      <c r="K211" s="1">
        <f t="shared" si="9"/>
        <v>5</v>
      </c>
      <c r="L211" s="1" t="str">
        <f>VLOOKUP(K211,List!$B$1:$D$10,2,0)</f>
        <v>Gastos</v>
      </c>
      <c r="M211" s="1" t="str">
        <f>VLOOKUP(K211,List!$B$1:$D$10,3,0)</f>
        <v>Resultado</v>
      </c>
      <c r="N211" s="1" t="str">
        <f t="shared" si="10"/>
        <v>51</v>
      </c>
      <c r="O211" s="1" t="str">
        <f>VLOOKUP(N211,List!$F$1:$G$36,2,0)</f>
        <v>Administrativos</v>
      </c>
      <c r="P211" s="1" t="str">
        <f t="shared" si="11"/>
        <v>5150</v>
      </c>
      <c r="Q211" s="1" t="str">
        <f>VLOOKUP(P211,PUC!$A$7:$B$869,2,0)</f>
        <v xml:space="preserve">Adecuación e instalación</v>
      </c>
      <c r="R211" s="6" t="s">
        <v>1423</v>
      </c>
      <c r="S211" s="6">
        <f>VLOOKUP(N211,List!$F:$H,3,0)</f>
        <v>0</v>
      </c>
    </row>
    <row r="212">
      <c r="A212" s="1">
        <v>620</v>
      </c>
      <c r="B212" s="3" t="s">
        <v>1097</v>
      </c>
      <c r="C212" s="3" t="s">
        <v>1098</v>
      </c>
      <c r="D212" s="3" t="s">
        <v>836</v>
      </c>
      <c r="E212" s="3" t="s">
        <v>836</v>
      </c>
      <c r="F212" s="3" t="s">
        <v>21</v>
      </c>
      <c r="G212" s="3" t="s">
        <v>22</v>
      </c>
      <c r="H212" s="3" t="s">
        <v>23</v>
      </c>
      <c r="I212" s="3" t="s">
        <v>24</v>
      </c>
      <c r="J212" s="3" t="s">
        <v>25</v>
      </c>
      <c r="K212" s="1">
        <f t="shared" si="9"/>
        <v>5</v>
      </c>
      <c r="L212" s="1" t="str">
        <f>VLOOKUP(K212,List!$B$1:$D$10,2,0)</f>
        <v>Gastos</v>
      </c>
      <c r="M212" s="1" t="str">
        <f>VLOOKUP(K212,List!$B$1:$D$10,3,0)</f>
        <v>Resultado</v>
      </c>
      <c r="N212" s="1" t="str">
        <f t="shared" si="10"/>
        <v>51</v>
      </c>
      <c r="O212" s="1" t="str">
        <f>VLOOKUP(N212,List!$F$1:$G$36,2,0)</f>
        <v>Administrativos</v>
      </c>
      <c r="P212" s="1" t="str">
        <f t="shared" si="11"/>
        <v>5155</v>
      </c>
      <c r="Q212" s="1" t="str">
        <f>VLOOKUP(P212,PUC!$A$7:$B$869,2,0)</f>
        <v xml:space="preserve">Gastos de viaje</v>
      </c>
      <c r="R212" s="6" t="s">
        <v>1423</v>
      </c>
      <c r="S212" s="6">
        <f>VLOOKUP(N212,List!$F:$H,3,0)</f>
        <v>0</v>
      </c>
    </row>
    <row r="213">
      <c r="A213" s="1">
        <v>622</v>
      </c>
      <c r="B213" s="3" t="s">
        <v>1101</v>
      </c>
      <c r="C213" s="3" t="s">
        <v>1102</v>
      </c>
      <c r="D213" s="3" t="s">
        <v>836</v>
      </c>
      <c r="E213" s="3" t="s">
        <v>836</v>
      </c>
      <c r="F213" s="3" t="s">
        <v>21</v>
      </c>
      <c r="G213" s="3" t="s">
        <v>22</v>
      </c>
      <c r="H213" s="3" t="s">
        <v>23</v>
      </c>
      <c r="I213" s="3" t="s">
        <v>24</v>
      </c>
      <c r="J213" s="3" t="s">
        <v>25</v>
      </c>
      <c r="K213" s="1">
        <f t="shared" si="9"/>
        <v>5</v>
      </c>
      <c r="L213" s="1" t="str">
        <f>VLOOKUP(K213,List!$B$1:$D$10,2,0)</f>
        <v>Gastos</v>
      </c>
      <c r="M213" s="1" t="str">
        <f>VLOOKUP(K213,List!$B$1:$D$10,3,0)</f>
        <v>Resultado</v>
      </c>
      <c r="N213" s="1" t="str">
        <f t="shared" si="10"/>
        <v>51</v>
      </c>
      <c r="O213" s="1" t="str">
        <f>VLOOKUP(N213,List!$F$1:$G$36,2,0)</f>
        <v>Administrativos</v>
      </c>
      <c r="P213" s="1" t="str">
        <f t="shared" si="11"/>
        <v>5155</v>
      </c>
      <c r="Q213" s="1" t="str">
        <f>VLOOKUP(P213,PUC!$A$7:$B$869,2,0)</f>
        <v xml:space="preserve">Gastos de viaje</v>
      </c>
      <c r="R213" s="6" t="s">
        <v>1423</v>
      </c>
      <c r="S213" s="6">
        <f>VLOOKUP(N213,List!$F:$H,3,0)</f>
        <v>0</v>
      </c>
    </row>
    <row r="214">
      <c r="A214" s="1">
        <v>624</v>
      </c>
      <c r="B214" s="3" t="s">
        <v>1105</v>
      </c>
      <c r="C214" s="3" t="s">
        <v>1106</v>
      </c>
      <c r="D214" s="3" t="s">
        <v>836</v>
      </c>
      <c r="E214" s="3" t="s">
        <v>836</v>
      </c>
      <c r="F214" s="3" t="s">
        <v>21</v>
      </c>
      <c r="G214" s="3" t="s">
        <v>22</v>
      </c>
      <c r="H214" s="3" t="s">
        <v>23</v>
      </c>
      <c r="I214" s="3" t="s">
        <v>24</v>
      </c>
      <c r="J214" s="3" t="s">
        <v>25</v>
      </c>
      <c r="K214" s="1">
        <f t="shared" si="9"/>
        <v>5</v>
      </c>
      <c r="L214" s="1" t="str">
        <f>VLOOKUP(K214,List!$B$1:$D$10,2,0)</f>
        <v>Gastos</v>
      </c>
      <c r="M214" s="1" t="str">
        <f>VLOOKUP(K214,List!$B$1:$D$10,3,0)</f>
        <v>Resultado</v>
      </c>
      <c r="N214" s="1" t="str">
        <f t="shared" si="10"/>
        <v>51</v>
      </c>
      <c r="O214" s="1" t="str">
        <f>VLOOKUP(N214,List!$F$1:$G$36,2,0)</f>
        <v>Administrativos</v>
      </c>
      <c r="P214" s="1" t="str">
        <f t="shared" si="11"/>
        <v>5155</v>
      </c>
      <c r="Q214" s="1" t="str">
        <f>VLOOKUP(P214,PUC!$A$7:$B$869,2,0)</f>
        <v xml:space="preserve">Gastos de viaje</v>
      </c>
      <c r="R214" s="6" t="s">
        <v>1423</v>
      </c>
      <c r="S214" s="6">
        <f>VLOOKUP(N214,List!$F:$H,3,0)</f>
        <v>0</v>
      </c>
    </row>
    <row r="215">
      <c r="A215" s="1">
        <v>629</v>
      </c>
      <c r="B215" s="3" t="s">
        <v>1113</v>
      </c>
      <c r="C215" s="3" t="s">
        <v>263</v>
      </c>
      <c r="D215" s="3" t="s">
        <v>836</v>
      </c>
      <c r="E215" s="3" t="s">
        <v>836</v>
      </c>
      <c r="F215" s="3" t="s">
        <v>1114</v>
      </c>
      <c r="G215" s="3" t="s">
        <v>22</v>
      </c>
      <c r="H215" s="3" t="s">
        <v>23</v>
      </c>
      <c r="I215" s="3" t="s">
        <v>24</v>
      </c>
      <c r="J215" s="3" t="s">
        <v>25</v>
      </c>
      <c r="K215" s="1">
        <f t="shared" si="9"/>
        <v>5</v>
      </c>
      <c r="L215" s="1" t="str">
        <f>VLOOKUP(K215,List!$B$1:$D$10,2,0)</f>
        <v>Gastos</v>
      </c>
      <c r="M215" s="1" t="str">
        <f>VLOOKUP(K215,List!$B$1:$D$10,3,0)</f>
        <v>Resultado</v>
      </c>
      <c r="N215" s="1" t="str">
        <f t="shared" si="10"/>
        <v>51</v>
      </c>
      <c r="O215" s="1" t="str">
        <f>VLOOKUP(N215,List!$F$1:$G$36,2,0)</f>
        <v>Administrativos</v>
      </c>
      <c r="P215" s="1" t="str">
        <f t="shared" si="11"/>
        <v>5160</v>
      </c>
      <c r="Q215" s="1" t="str">
        <f>VLOOKUP(P215,PUC!$A$7:$B$869,2,0)</f>
        <v>Depreciaciones</v>
      </c>
      <c r="R215" s="6" t="s">
        <v>1422</v>
      </c>
      <c r="S215" s="6">
        <f>VLOOKUP(N215,List!$F:$H,3,0)</f>
        <v>0</v>
      </c>
    </row>
    <row r="216">
      <c r="A216" s="1">
        <v>630</v>
      </c>
      <c r="B216" s="3" t="s">
        <v>1115</v>
      </c>
      <c r="C216" s="3" t="s">
        <v>299</v>
      </c>
      <c r="D216" s="3" t="s">
        <v>836</v>
      </c>
      <c r="E216" s="3" t="s">
        <v>836</v>
      </c>
      <c r="F216" s="3" t="s">
        <v>1116</v>
      </c>
      <c r="G216" s="3" t="s">
        <v>22</v>
      </c>
      <c r="H216" s="3" t="s">
        <v>24</v>
      </c>
      <c r="I216" s="3" t="s">
        <v>24</v>
      </c>
      <c r="J216" s="3" t="s">
        <v>25</v>
      </c>
      <c r="K216" s="1">
        <f t="shared" si="9"/>
        <v>5</v>
      </c>
      <c r="L216" s="1" t="str">
        <f>VLOOKUP(K216,List!$B$1:$D$10,2,0)</f>
        <v>Gastos</v>
      </c>
      <c r="M216" s="1" t="str">
        <f>VLOOKUP(K216,List!$B$1:$D$10,3,0)</f>
        <v>Resultado</v>
      </c>
      <c r="N216" s="1" t="str">
        <f t="shared" si="10"/>
        <v>51</v>
      </c>
      <c r="O216" s="1" t="str">
        <f>VLOOKUP(N216,List!$F$1:$G$36,2,0)</f>
        <v>Administrativos</v>
      </c>
      <c r="P216" s="1" t="str">
        <f t="shared" si="11"/>
        <v>5160</v>
      </c>
      <c r="Q216" s="1" t="str">
        <f>VLOOKUP(P216,PUC!$A$7:$B$869,2,0)</f>
        <v>Depreciaciones</v>
      </c>
      <c r="R216" s="6" t="s">
        <v>1422</v>
      </c>
      <c r="S216" s="6">
        <f>VLOOKUP(N216,List!$F:$H,3,0)</f>
        <v>0</v>
      </c>
    </row>
    <row r="217">
      <c r="A217" s="1">
        <v>632</v>
      </c>
      <c r="B217" s="3" t="s">
        <v>1118</v>
      </c>
      <c r="C217" s="3" t="s">
        <v>276</v>
      </c>
      <c r="D217" s="3" t="s">
        <v>836</v>
      </c>
      <c r="E217" s="3" t="s">
        <v>836</v>
      </c>
      <c r="F217" s="3" t="s">
        <v>1114</v>
      </c>
      <c r="G217" s="3" t="s">
        <v>22</v>
      </c>
      <c r="H217" s="3" t="s">
        <v>23</v>
      </c>
      <c r="I217" s="3" t="s">
        <v>24</v>
      </c>
      <c r="J217" s="3" t="s">
        <v>25</v>
      </c>
      <c r="K217" s="1">
        <f t="shared" si="9"/>
        <v>5</v>
      </c>
      <c r="L217" s="1" t="str">
        <f>VLOOKUP(K217,List!$B$1:$D$10,2,0)</f>
        <v>Gastos</v>
      </c>
      <c r="M217" s="1" t="str">
        <f>VLOOKUP(K217,List!$B$1:$D$10,3,0)</f>
        <v>Resultado</v>
      </c>
      <c r="N217" s="1" t="str">
        <f t="shared" si="10"/>
        <v>51</v>
      </c>
      <c r="O217" s="1" t="str">
        <f>VLOOKUP(N217,List!$F$1:$G$36,2,0)</f>
        <v>Administrativos</v>
      </c>
      <c r="P217" s="1" t="str">
        <f t="shared" si="11"/>
        <v>5160</v>
      </c>
      <c r="Q217" s="1" t="str">
        <f>VLOOKUP(P217,PUC!$A$7:$B$869,2,0)</f>
        <v>Depreciaciones</v>
      </c>
      <c r="R217" s="6" t="s">
        <v>1422</v>
      </c>
      <c r="S217" s="6">
        <f>VLOOKUP(N217,List!$F:$H,3,0)</f>
        <v>0</v>
      </c>
    </row>
    <row r="218">
      <c r="A218" s="1">
        <v>633</v>
      </c>
      <c r="B218" s="3" t="s">
        <v>1119</v>
      </c>
      <c r="C218" s="3" t="s">
        <v>304</v>
      </c>
      <c r="D218" s="3" t="s">
        <v>836</v>
      </c>
      <c r="E218" s="3" t="s">
        <v>836</v>
      </c>
      <c r="F218" s="3" t="s">
        <v>1116</v>
      </c>
      <c r="G218" s="3" t="s">
        <v>22</v>
      </c>
      <c r="H218" s="3" t="s">
        <v>24</v>
      </c>
      <c r="I218" s="3" t="s">
        <v>24</v>
      </c>
      <c r="J218" s="3" t="s">
        <v>25</v>
      </c>
      <c r="K218" s="1">
        <f t="shared" si="9"/>
        <v>5</v>
      </c>
      <c r="L218" s="1" t="str">
        <f>VLOOKUP(K218,List!$B$1:$D$10,2,0)</f>
        <v>Gastos</v>
      </c>
      <c r="M218" s="1" t="str">
        <f>VLOOKUP(K218,List!$B$1:$D$10,3,0)</f>
        <v>Resultado</v>
      </c>
      <c r="N218" s="1" t="str">
        <f t="shared" si="10"/>
        <v>51</v>
      </c>
      <c r="O218" s="1" t="str">
        <f>VLOOKUP(N218,List!$F$1:$G$36,2,0)</f>
        <v>Administrativos</v>
      </c>
      <c r="P218" s="1" t="str">
        <f t="shared" si="11"/>
        <v>5160</v>
      </c>
      <c r="Q218" s="1" t="str">
        <f>VLOOKUP(P218,PUC!$A$7:$B$869,2,0)</f>
        <v>Depreciaciones</v>
      </c>
      <c r="R218" s="6" t="s">
        <v>1422</v>
      </c>
      <c r="S218" s="6">
        <f>VLOOKUP(N218,List!$F:$H,3,0)</f>
        <v>0</v>
      </c>
    </row>
    <row r="219">
      <c r="A219" s="1">
        <v>635</v>
      </c>
      <c r="B219" s="3" t="s">
        <v>1121</v>
      </c>
      <c r="C219" s="3" t="s">
        <v>283</v>
      </c>
      <c r="D219" s="3" t="s">
        <v>836</v>
      </c>
      <c r="E219" s="3" t="s">
        <v>836</v>
      </c>
      <c r="F219" s="3" t="s">
        <v>1114</v>
      </c>
      <c r="G219" s="3" t="s">
        <v>22</v>
      </c>
      <c r="H219" s="3" t="s">
        <v>23</v>
      </c>
      <c r="I219" s="3" t="s">
        <v>24</v>
      </c>
      <c r="J219" s="3" t="s">
        <v>25</v>
      </c>
      <c r="K219" s="1">
        <f t="shared" si="9"/>
        <v>5</v>
      </c>
      <c r="L219" s="1" t="str">
        <f>VLOOKUP(K219,List!$B$1:$D$10,2,0)</f>
        <v>Gastos</v>
      </c>
      <c r="M219" s="1" t="str">
        <f>VLOOKUP(K219,List!$B$1:$D$10,3,0)</f>
        <v>Resultado</v>
      </c>
      <c r="N219" s="1" t="str">
        <f t="shared" si="10"/>
        <v>51</v>
      </c>
      <c r="O219" s="1" t="str">
        <f>VLOOKUP(N219,List!$F$1:$G$36,2,0)</f>
        <v>Administrativos</v>
      </c>
      <c r="P219" s="1" t="str">
        <f t="shared" si="11"/>
        <v>5160</v>
      </c>
      <c r="Q219" s="1" t="str">
        <f>VLOOKUP(P219,PUC!$A$7:$B$869,2,0)</f>
        <v>Depreciaciones</v>
      </c>
      <c r="R219" s="6" t="s">
        <v>1422</v>
      </c>
      <c r="S219" s="6">
        <f>VLOOKUP(N219,List!$F:$H,3,0)</f>
        <v>0</v>
      </c>
    </row>
    <row r="220">
      <c r="A220" s="1">
        <v>636</v>
      </c>
      <c r="B220" s="3" t="s">
        <v>1122</v>
      </c>
      <c r="C220" s="3" t="s">
        <v>1123</v>
      </c>
      <c r="D220" s="3" t="s">
        <v>836</v>
      </c>
      <c r="E220" s="3" t="s">
        <v>836</v>
      </c>
      <c r="F220" s="3" t="s">
        <v>1116</v>
      </c>
      <c r="G220" s="3" t="s">
        <v>22</v>
      </c>
      <c r="H220" s="3" t="s">
        <v>24</v>
      </c>
      <c r="I220" s="3" t="s">
        <v>24</v>
      </c>
      <c r="J220" s="3" t="s">
        <v>25</v>
      </c>
      <c r="K220" s="1">
        <f t="shared" si="9"/>
        <v>5</v>
      </c>
      <c r="L220" s="1" t="str">
        <f>VLOOKUP(K220,List!$B$1:$D$10,2,0)</f>
        <v>Gastos</v>
      </c>
      <c r="M220" s="1" t="str">
        <f>VLOOKUP(K220,List!$B$1:$D$10,3,0)</f>
        <v>Resultado</v>
      </c>
      <c r="N220" s="1" t="str">
        <f t="shared" si="10"/>
        <v>51</v>
      </c>
      <c r="O220" s="1" t="str">
        <f>VLOOKUP(N220,List!$F$1:$G$36,2,0)</f>
        <v>Administrativos</v>
      </c>
      <c r="P220" s="1" t="str">
        <f t="shared" si="11"/>
        <v>5160</v>
      </c>
      <c r="Q220" s="1" t="str">
        <f>VLOOKUP(P220,PUC!$A$7:$B$869,2,0)</f>
        <v>Depreciaciones</v>
      </c>
      <c r="R220" s="6" t="s">
        <v>1422</v>
      </c>
      <c r="S220" s="6">
        <f>VLOOKUP(N220,List!$F:$H,3,0)</f>
        <v>0</v>
      </c>
    </row>
    <row r="221">
      <c r="A221" s="1">
        <v>644</v>
      </c>
      <c r="B221" s="3" t="s">
        <v>1136</v>
      </c>
      <c r="C221" s="3" t="s">
        <v>1135</v>
      </c>
      <c r="D221" s="3" t="s">
        <v>836</v>
      </c>
      <c r="E221" s="3" t="s">
        <v>836</v>
      </c>
      <c r="F221" s="3" t="s">
        <v>21</v>
      </c>
      <c r="G221" s="3" t="s">
        <v>22</v>
      </c>
      <c r="H221" s="3" t="s">
        <v>23</v>
      </c>
      <c r="I221" s="3" t="s">
        <v>24</v>
      </c>
      <c r="J221" s="3" t="s">
        <v>25</v>
      </c>
      <c r="K221" s="1">
        <f t="shared" si="9"/>
        <v>5</v>
      </c>
      <c r="L221" s="1" t="str">
        <f>VLOOKUP(K221,List!$B$1:$D$10,2,0)</f>
        <v>Gastos</v>
      </c>
      <c r="M221" s="1" t="str">
        <f>VLOOKUP(K221,List!$B$1:$D$10,3,0)</f>
        <v>Resultado</v>
      </c>
      <c r="N221" s="1" t="str">
        <f t="shared" si="10"/>
        <v>51</v>
      </c>
      <c r="O221" s="1" t="str">
        <f>VLOOKUP(N221,List!$F$1:$G$36,2,0)</f>
        <v>Administrativos</v>
      </c>
      <c r="P221" s="1" t="str">
        <f t="shared" si="11"/>
        <v>5195</v>
      </c>
      <c r="Q221" s="1" t="str">
        <f>VLOOKUP(P221,PUC!$A$7:$B$869,2,0)</f>
        <v>Diversos</v>
      </c>
      <c r="R221" s="6" t="s">
        <v>1423</v>
      </c>
      <c r="S221" s="6">
        <f>VLOOKUP(N221,List!$F:$H,3,0)</f>
        <v>0</v>
      </c>
    </row>
    <row r="222">
      <c r="A222" s="1">
        <v>646</v>
      </c>
      <c r="B222" s="3" t="s">
        <v>1139</v>
      </c>
      <c r="C222" s="3" t="s">
        <v>1138</v>
      </c>
      <c r="D222" s="3" t="s">
        <v>836</v>
      </c>
      <c r="E222" s="3" t="s">
        <v>836</v>
      </c>
      <c r="F222" s="3" t="s">
        <v>21</v>
      </c>
      <c r="G222" s="3" t="s">
        <v>22</v>
      </c>
      <c r="H222" s="3" t="s">
        <v>23</v>
      </c>
      <c r="I222" s="3" t="s">
        <v>24</v>
      </c>
      <c r="J222" s="3" t="s">
        <v>25</v>
      </c>
      <c r="K222" s="1">
        <f t="shared" si="9"/>
        <v>5</v>
      </c>
      <c r="L222" s="1" t="str">
        <f>VLOOKUP(K222,List!$B$1:$D$10,2,0)</f>
        <v>Gastos</v>
      </c>
      <c r="M222" s="1" t="str">
        <f>VLOOKUP(K222,List!$B$1:$D$10,3,0)</f>
        <v>Resultado</v>
      </c>
      <c r="N222" s="1" t="str">
        <f t="shared" si="10"/>
        <v>51</v>
      </c>
      <c r="O222" s="1" t="str">
        <f>VLOOKUP(N222,List!$F$1:$G$36,2,0)</f>
        <v>Administrativos</v>
      </c>
      <c r="P222" s="1" t="str">
        <f t="shared" si="11"/>
        <v>5195</v>
      </c>
      <c r="Q222" s="1" t="str">
        <f>VLOOKUP(P222,PUC!$A$7:$B$869,2,0)</f>
        <v>Diversos</v>
      </c>
      <c r="R222" s="6" t="s">
        <v>1423</v>
      </c>
      <c r="S222" s="6">
        <f>VLOOKUP(N222,List!$F:$H,3,0)</f>
        <v>0</v>
      </c>
    </row>
    <row r="223">
      <c r="A223" s="1">
        <v>648</v>
      </c>
      <c r="B223" s="3" t="s">
        <v>1142</v>
      </c>
      <c r="C223" s="3" t="s">
        <v>1141</v>
      </c>
      <c r="D223" s="3" t="s">
        <v>836</v>
      </c>
      <c r="E223" s="3" t="s">
        <v>836</v>
      </c>
      <c r="F223" s="3" t="s">
        <v>21</v>
      </c>
      <c r="G223" s="3" t="s">
        <v>22</v>
      </c>
      <c r="H223" s="3" t="s">
        <v>23</v>
      </c>
      <c r="I223" s="3" t="s">
        <v>24</v>
      </c>
      <c r="J223" s="3" t="s">
        <v>25</v>
      </c>
      <c r="K223" s="1">
        <f t="shared" si="9"/>
        <v>5</v>
      </c>
      <c r="L223" s="1" t="str">
        <f>VLOOKUP(K223,List!$B$1:$D$10,2,0)</f>
        <v>Gastos</v>
      </c>
      <c r="M223" s="1" t="str">
        <f>VLOOKUP(K223,List!$B$1:$D$10,3,0)</f>
        <v>Resultado</v>
      </c>
      <c r="N223" s="1" t="str">
        <f t="shared" si="10"/>
        <v>51</v>
      </c>
      <c r="O223" s="1" t="str">
        <f>VLOOKUP(N223,List!$F$1:$G$36,2,0)</f>
        <v>Administrativos</v>
      </c>
      <c r="P223" s="1" t="str">
        <f t="shared" si="11"/>
        <v>5195</v>
      </c>
      <c r="Q223" s="1" t="str">
        <f>VLOOKUP(P223,PUC!$A$7:$B$869,2,0)</f>
        <v>Diversos</v>
      </c>
      <c r="R223" s="6" t="s">
        <v>1423</v>
      </c>
      <c r="S223" s="6">
        <f>VLOOKUP(N223,List!$F:$H,3,0)</f>
        <v>0</v>
      </c>
    </row>
    <row r="224">
      <c r="A224" s="1">
        <v>650</v>
      </c>
      <c r="B224" s="3" t="s">
        <v>1145</v>
      </c>
      <c r="C224" s="3" t="s">
        <v>1144</v>
      </c>
      <c r="D224" s="3" t="s">
        <v>836</v>
      </c>
      <c r="E224" s="3" t="s">
        <v>836</v>
      </c>
      <c r="F224" s="3" t="s">
        <v>21</v>
      </c>
      <c r="G224" s="3" t="s">
        <v>22</v>
      </c>
      <c r="H224" s="3" t="s">
        <v>23</v>
      </c>
      <c r="I224" s="3" t="s">
        <v>24</v>
      </c>
      <c r="J224" s="3" t="s">
        <v>25</v>
      </c>
      <c r="K224" s="1">
        <f t="shared" si="9"/>
        <v>5</v>
      </c>
      <c r="L224" s="1" t="str">
        <f>VLOOKUP(K224,List!$B$1:$D$10,2,0)</f>
        <v>Gastos</v>
      </c>
      <c r="M224" s="1" t="str">
        <f>VLOOKUP(K224,List!$B$1:$D$10,3,0)</f>
        <v>Resultado</v>
      </c>
      <c r="N224" s="1" t="str">
        <f t="shared" si="10"/>
        <v>51</v>
      </c>
      <c r="O224" s="1" t="str">
        <f>VLOOKUP(N224,List!$F$1:$G$36,2,0)</f>
        <v>Administrativos</v>
      </c>
      <c r="P224" s="1" t="str">
        <f t="shared" si="11"/>
        <v>5195</v>
      </c>
      <c r="Q224" s="1" t="str">
        <f>VLOOKUP(P224,PUC!$A$7:$B$869,2,0)</f>
        <v>Diversos</v>
      </c>
      <c r="R224" s="6" t="s">
        <v>1423</v>
      </c>
      <c r="S224" s="6">
        <f>VLOOKUP(N224,List!$F:$H,3,0)</f>
        <v>0</v>
      </c>
    </row>
    <row r="225">
      <c r="A225" s="1">
        <v>652</v>
      </c>
      <c r="B225" s="3" t="s">
        <v>1148</v>
      </c>
      <c r="C225" s="3" t="s">
        <v>1147</v>
      </c>
      <c r="D225" s="3" t="s">
        <v>836</v>
      </c>
      <c r="E225" s="3" t="s">
        <v>836</v>
      </c>
      <c r="F225" s="3" t="s">
        <v>21</v>
      </c>
      <c r="G225" s="3" t="s">
        <v>22</v>
      </c>
      <c r="H225" s="3" t="s">
        <v>23</v>
      </c>
      <c r="I225" s="3" t="s">
        <v>24</v>
      </c>
      <c r="J225" s="3" t="s">
        <v>25</v>
      </c>
      <c r="K225" s="1">
        <f t="shared" si="9"/>
        <v>5</v>
      </c>
      <c r="L225" s="1" t="str">
        <f>VLOOKUP(K225,List!$B$1:$D$10,2,0)</f>
        <v>Gastos</v>
      </c>
      <c r="M225" s="1" t="str">
        <f>VLOOKUP(K225,List!$B$1:$D$10,3,0)</f>
        <v>Resultado</v>
      </c>
      <c r="N225" s="13" t="str">
        <f t="shared" si="10"/>
        <v>51</v>
      </c>
      <c r="O225" s="13" t="str">
        <f>VLOOKUP(N225,List!$F$1:$G$36,2,0)</f>
        <v>Administrativos</v>
      </c>
      <c r="P225" s="1" t="str">
        <f t="shared" si="11"/>
        <v>5195</v>
      </c>
      <c r="Q225" s="1" t="str">
        <f>VLOOKUP(P225,PUC!$A$7:$B$869,2,0)</f>
        <v>Diversos</v>
      </c>
      <c r="R225" s="6" t="s">
        <v>1423</v>
      </c>
      <c r="S225" s="6">
        <f>VLOOKUP(N225,List!$F:$H,3,0)</f>
        <v>0</v>
      </c>
    </row>
    <row r="226">
      <c r="A226" s="1">
        <v>654</v>
      </c>
      <c r="B226" s="3" t="s">
        <v>1151</v>
      </c>
      <c r="C226" s="3" t="s">
        <v>1150</v>
      </c>
      <c r="D226" s="3" t="s">
        <v>836</v>
      </c>
      <c r="E226" s="3" t="s">
        <v>836</v>
      </c>
      <c r="F226" s="3" t="s">
        <v>21</v>
      </c>
      <c r="G226" s="3" t="s">
        <v>22</v>
      </c>
      <c r="H226" s="3" t="s">
        <v>23</v>
      </c>
      <c r="I226" s="3" t="s">
        <v>24</v>
      </c>
      <c r="J226" s="3" t="s">
        <v>25</v>
      </c>
      <c r="K226" s="1">
        <f t="shared" si="9"/>
        <v>5</v>
      </c>
      <c r="L226" s="1" t="str">
        <f>VLOOKUP(K226,List!$B$1:$D$10,2,0)</f>
        <v>Gastos</v>
      </c>
      <c r="M226" s="1" t="str">
        <f>VLOOKUP(K226,List!$B$1:$D$10,3,0)</f>
        <v>Resultado</v>
      </c>
      <c r="N226" s="13" t="str">
        <f t="shared" si="10"/>
        <v>51</v>
      </c>
      <c r="O226" s="13" t="str">
        <f>VLOOKUP(N226,List!$F$1:$G$36,2,0)</f>
        <v>Administrativos</v>
      </c>
      <c r="P226" s="1" t="str">
        <f t="shared" si="11"/>
        <v>5195</v>
      </c>
      <c r="Q226" s="1" t="str">
        <f>VLOOKUP(P226,PUC!$A$7:$B$869,2,0)</f>
        <v>Diversos</v>
      </c>
      <c r="R226" s="6" t="s">
        <v>1423</v>
      </c>
      <c r="S226" s="6">
        <f>VLOOKUP(N226,List!$F:$H,3,0)</f>
        <v>0</v>
      </c>
    </row>
    <row r="227">
      <c r="A227" s="1">
        <v>656</v>
      </c>
      <c r="B227" s="3" t="s">
        <v>1153</v>
      </c>
      <c r="C227" s="3" t="s">
        <v>108</v>
      </c>
      <c r="D227" s="3" t="s">
        <v>836</v>
      </c>
      <c r="E227" s="3" t="s">
        <v>836</v>
      </c>
      <c r="F227" s="3" t="s">
        <v>21</v>
      </c>
      <c r="G227" s="3" t="s">
        <v>22</v>
      </c>
      <c r="H227" s="3" t="s">
        <v>23</v>
      </c>
      <c r="I227" s="3" t="s">
        <v>24</v>
      </c>
      <c r="J227" s="3" t="s">
        <v>25</v>
      </c>
      <c r="K227" s="1">
        <f t="shared" si="9"/>
        <v>5</v>
      </c>
      <c r="L227" s="1" t="str">
        <f>VLOOKUP(K227,List!$B$1:$D$10,2,0)</f>
        <v>Gastos</v>
      </c>
      <c r="M227" s="1" t="str">
        <f>VLOOKUP(K227,List!$B$1:$D$10,3,0)</f>
        <v>Resultado</v>
      </c>
      <c r="N227" s="1" t="str">
        <f t="shared" si="10"/>
        <v>51</v>
      </c>
      <c r="O227" s="1" t="str">
        <f>VLOOKUP(N227,List!$F$1:$G$36,2,0)</f>
        <v>Administrativos</v>
      </c>
      <c r="P227" s="1" t="str">
        <f t="shared" si="11"/>
        <v>5195</v>
      </c>
      <c r="Q227" s="1" t="str">
        <f>VLOOKUP(P227,PUC!$A$7:$B$869,2,0)</f>
        <v>Diversos</v>
      </c>
      <c r="R227" s="6" t="s">
        <v>1423</v>
      </c>
      <c r="S227" s="6">
        <f>VLOOKUP(N227,List!$F:$H,3,0)</f>
        <v>0</v>
      </c>
    </row>
    <row r="228">
      <c r="A228" s="1">
        <v>659</v>
      </c>
      <c r="B228" s="3" t="s">
        <v>1157</v>
      </c>
      <c r="C228" s="3" t="s">
        <v>1155</v>
      </c>
      <c r="D228" s="3" t="s">
        <v>836</v>
      </c>
      <c r="E228" s="3" t="s">
        <v>836</v>
      </c>
      <c r="F228" s="3" t="s">
        <v>21</v>
      </c>
      <c r="G228" s="3" t="s">
        <v>22</v>
      </c>
      <c r="H228" s="3" t="s">
        <v>23</v>
      </c>
      <c r="I228" s="3" t="s">
        <v>24</v>
      </c>
      <c r="J228" s="3" t="s">
        <v>25</v>
      </c>
      <c r="K228" s="1">
        <f t="shared" si="9"/>
        <v>5</v>
      </c>
      <c r="L228" s="1" t="str">
        <f>VLOOKUP(K228,List!$B$1:$D$10,2,0)</f>
        <v>Gastos</v>
      </c>
      <c r="M228" s="1" t="str">
        <f>VLOOKUP(K228,List!$B$1:$D$10,3,0)</f>
        <v>Resultado</v>
      </c>
      <c r="N228" s="1" t="str">
        <f t="shared" si="10"/>
        <v>51</v>
      </c>
      <c r="O228" s="1" t="str">
        <f>VLOOKUP(N228,List!$F$1:$G$36,2,0)</f>
        <v>Administrativos</v>
      </c>
      <c r="P228" s="1" t="str">
        <f t="shared" si="11"/>
        <v>5198</v>
      </c>
      <c r="Q228" s="1" t="str">
        <f>VLOOKUP(P228,PUC!$A$7:$B$869,2,0)</f>
        <v xml:space="preserve">Deterioro de Cartera</v>
      </c>
      <c r="R228" s="6" t="s">
        <v>1423</v>
      </c>
      <c r="S228" s="6">
        <f>VLOOKUP(N228,List!$F:$H,3,0)</f>
        <v>0</v>
      </c>
    </row>
    <row r="229">
      <c r="A229" s="1">
        <v>662</v>
      </c>
      <c r="B229" s="3" t="s">
        <v>1161</v>
      </c>
      <c r="C229" s="3" t="s">
        <v>1162</v>
      </c>
      <c r="D229" s="3" t="s">
        <v>531</v>
      </c>
      <c r="E229" s="3" t="s">
        <v>836</v>
      </c>
      <c r="F229" s="3" t="s">
        <v>21</v>
      </c>
      <c r="G229" s="3" t="s">
        <v>22</v>
      </c>
      <c r="H229" s="3" t="s">
        <v>23</v>
      </c>
      <c r="I229" s="3" t="s">
        <v>24</v>
      </c>
      <c r="J229" s="3" t="s">
        <v>25</v>
      </c>
      <c r="K229" s="1">
        <f t="shared" si="9"/>
        <v>5</v>
      </c>
      <c r="L229" s="1" t="str">
        <f>VLOOKUP(K229,List!$B$1:$D$10,2,0)</f>
        <v>Gastos</v>
      </c>
      <c r="M229" s="1" t="str">
        <f>VLOOKUP(K229,List!$B$1:$D$10,3,0)</f>
        <v>Resultado</v>
      </c>
      <c r="N229" s="1" t="str">
        <f t="shared" si="10"/>
        <v>51</v>
      </c>
      <c r="O229" s="1" t="str">
        <f>VLOOKUP(N229,List!$F$1:$G$36,2,0)</f>
        <v>Administrativos</v>
      </c>
      <c r="P229" s="1" t="str">
        <f t="shared" si="11"/>
        <v>5199</v>
      </c>
      <c r="Q229" s="1" t="str">
        <f>VLOOKUP(P229,PUC!$A$7:$B$869,2,0)</f>
        <v xml:space="preserve">Otros gastos</v>
      </c>
      <c r="R229" s="6" t="s">
        <v>1423</v>
      </c>
      <c r="S229" s="6">
        <f>VLOOKUP(N229,List!$F:$H,3,0)</f>
        <v>0</v>
      </c>
    </row>
    <row r="230">
      <c r="A230" s="1">
        <v>664</v>
      </c>
      <c r="B230" s="3" t="s">
        <v>1164</v>
      </c>
      <c r="C230" s="3" t="s">
        <v>1165</v>
      </c>
      <c r="D230" s="3" t="s">
        <v>531</v>
      </c>
      <c r="E230" s="3" t="s">
        <v>836</v>
      </c>
      <c r="F230" s="3" t="s">
        <v>1166</v>
      </c>
      <c r="G230" s="3" t="s">
        <v>22</v>
      </c>
      <c r="H230" s="3" t="s">
        <v>23</v>
      </c>
      <c r="I230" s="3" t="s">
        <v>24</v>
      </c>
      <c r="J230" s="3" t="s">
        <v>25</v>
      </c>
      <c r="K230" s="1">
        <f t="shared" si="9"/>
        <v>5</v>
      </c>
      <c r="L230" s="1" t="str">
        <f>VLOOKUP(K230,List!$B$1:$D$10,2,0)</f>
        <v>Gastos</v>
      </c>
      <c r="M230" s="1" t="str">
        <f>VLOOKUP(K230,List!$B$1:$D$10,3,0)</f>
        <v>Resultado</v>
      </c>
      <c r="N230" s="1" t="str">
        <f t="shared" si="10"/>
        <v>51</v>
      </c>
      <c r="O230" s="1" t="str">
        <f>VLOOKUP(N230,List!$F$1:$G$36,2,0)</f>
        <v>Administrativos</v>
      </c>
      <c r="P230" s="1" t="str">
        <f t="shared" si="11"/>
        <v>5199</v>
      </c>
      <c r="Q230" s="1" t="str">
        <f>VLOOKUP(P230,PUC!$A$7:$B$869,2,0)</f>
        <v xml:space="preserve">Otros gastos</v>
      </c>
      <c r="R230" s="6" t="s">
        <v>1423</v>
      </c>
      <c r="S230" s="6">
        <f>VLOOKUP(N230,List!$F:$H,3,0)</f>
        <v>0</v>
      </c>
    </row>
    <row r="231">
      <c r="A231" s="1">
        <v>668</v>
      </c>
      <c r="B231" s="3" t="s">
        <v>1171</v>
      </c>
      <c r="C231" s="3" t="s">
        <v>833</v>
      </c>
      <c r="D231" s="3" t="s">
        <v>835</v>
      </c>
      <c r="E231" s="3" t="s">
        <v>836</v>
      </c>
      <c r="F231" s="3" t="s">
        <v>21</v>
      </c>
      <c r="G231" s="3" t="s">
        <v>22</v>
      </c>
      <c r="H231" s="3" t="s">
        <v>23</v>
      </c>
      <c r="I231" s="3" t="s">
        <v>24</v>
      </c>
      <c r="J231" s="3" t="s">
        <v>25</v>
      </c>
      <c r="K231" s="1">
        <f t="shared" si="9"/>
        <v>5</v>
      </c>
      <c r="L231" s="1" t="str">
        <f>VLOOKUP(K231,List!$B$1:$D$10,2,0)</f>
        <v>Gastos</v>
      </c>
      <c r="M231" s="1" t="str">
        <f>VLOOKUP(K231,List!$B$1:$D$10,3,0)</f>
        <v>Resultado</v>
      </c>
      <c r="N231" s="1" t="str">
        <f t="shared" si="10"/>
        <v>52</v>
      </c>
      <c r="O231" s="1" t="str">
        <f>VLOOKUP(N231,List!$F$1:$G$36,2,0)</f>
        <v>Ventas</v>
      </c>
      <c r="P231" s="1" t="str">
        <f t="shared" si="11"/>
        <v>5205</v>
      </c>
      <c r="Q231" s="1" t="str">
        <f>VLOOKUP(P231,PUC!$A$7:$B$869,2,0)</f>
        <v xml:space="preserve">Gastos de personal</v>
      </c>
      <c r="R231" s="6" t="s">
        <v>1423</v>
      </c>
      <c r="S231" s="6">
        <f>VLOOKUP(N231,List!$F:$H,3,0)</f>
        <v>0</v>
      </c>
    </row>
    <row r="232">
      <c r="A232" s="1">
        <v>669</v>
      </c>
      <c r="B232" s="3" t="s">
        <v>1172</v>
      </c>
      <c r="C232" s="3" t="s">
        <v>838</v>
      </c>
      <c r="D232" s="3" t="s">
        <v>835</v>
      </c>
      <c r="E232" s="3" t="s">
        <v>836</v>
      </c>
      <c r="F232" s="3" t="s">
        <v>21</v>
      </c>
      <c r="G232" s="3" t="s">
        <v>22</v>
      </c>
      <c r="H232" s="3" t="s">
        <v>24</v>
      </c>
      <c r="I232" s="3" t="s">
        <v>24</v>
      </c>
      <c r="J232" s="3" t="s">
        <v>25</v>
      </c>
      <c r="K232" s="1">
        <f t="shared" si="9"/>
        <v>5</v>
      </c>
      <c r="L232" s="1" t="str">
        <f>VLOOKUP(K232,List!$B$1:$D$10,2,0)</f>
        <v>Gastos</v>
      </c>
      <c r="M232" s="1" t="str">
        <f>VLOOKUP(K232,List!$B$1:$D$10,3,0)</f>
        <v>Resultado</v>
      </c>
      <c r="N232" s="1" t="str">
        <f t="shared" si="10"/>
        <v>52</v>
      </c>
      <c r="O232" s="1" t="str">
        <f>VLOOKUP(N232,List!$F$1:$G$36,2,0)</f>
        <v>Ventas</v>
      </c>
      <c r="P232" s="1" t="str">
        <f t="shared" si="11"/>
        <v>5205</v>
      </c>
      <c r="Q232" s="1" t="str">
        <f>VLOOKUP(P232,PUC!$A$7:$B$869,2,0)</f>
        <v xml:space="preserve">Gastos de personal</v>
      </c>
      <c r="R232" s="6" t="s">
        <v>1423</v>
      </c>
      <c r="S232" s="6">
        <f>VLOOKUP(N232,List!$F:$H,3,0)</f>
        <v>0</v>
      </c>
    </row>
    <row r="233">
      <c r="A233" s="1">
        <v>671</v>
      </c>
      <c r="B233" s="3" t="s">
        <v>1174</v>
      </c>
      <c r="C233" s="3" t="s">
        <v>840</v>
      </c>
      <c r="D233" s="3" t="s">
        <v>835</v>
      </c>
      <c r="E233" s="3" t="s">
        <v>836</v>
      </c>
      <c r="F233" s="3" t="s">
        <v>21</v>
      </c>
      <c r="G233" s="3" t="s">
        <v>22</v>
      </c>
      <c r="H233" s="3" t="s">
        <v>23</v>
      </c>
      <c r="I233" s="3" t="s">
        <v>24</v>
      </c>
      <c r="J233" s="3" t="s">
        <v>25</v>
      </c>
      <c r="K233" s="1">
        <f t="shared" si="9"/>
        <v>5</v>
      </c>
      <c r="L233" s="1" t="str">
        <f>VLOOKUP(K233,List!$B$1:$D$10,2,0)</f>
        <v>Gastos</v>
      </c>
      <c r="M233" s="1" t="str">
        <f>VLOOKUP(K233,List!$B$1:$D$10,3,0)</f>
        <v>Resultado</v>
      </c>
      <c r="N233" s="1" t="str">
        <f t="shared" si="10"/>
        <v>52</v>
      </c>
      <c r="O233" s="1" t="str">
        <f>VLOOKUP(N233,List!$F$1:$G$36,2,0)</f>
        <v>Ventas</v>
      </c>
      <c r="P233" s="1" t="str">
        <f t="shared" si="11"/>
        <v>5205</v>
      </c>
      <c r="Q233" s="1" t="str">
        <f>VLOOKUP(P233,PUC!$A$7:$B$869,2,0)</f>
        <v xml:space="preserve">Gastos de personal</v>
      </c>
      <c r="R233" s="6" t="s">
        <v>1423</v>
      </c>
      <c r="S233" s="6">
        <f>VLOOKUP(N233,List!$F:$H,3,0)</f>
        <v>0</v>
      </c>
    </row>
    <row r="234">
      <c r="A234" s="1">
        <v>672</v>
      </c>
      <c r="B234" s="3" t="s">
        <v>1175</v>
      </c>
      <c r="C234" s="3" t="s">
        <v>843</v>
      </c>
      <c r="D234" s="3" t="s">
        <v>835</v>
      </c>
      <c r="E234" s="3" t="s">
        <v>836</v>
      </c>
      <c r="F234" s="3" t="s">
        <v>21</v>
      </c>
      <c r="G234" s="3" t="s">
        <v>22</v>
      </c>
      <c r="H234" s="3" t="s">
        <v>24</v>
      </c>
      <c r="I234" s="3" t="s">
        <v>24</v>
      </c>
      <c r="J234" s="3" t="s">
        <v>25</v>
      </c>
      <c r="K234" s="1">
        <f t="shared" si="9"/>
        <v>5</v>
      </c>
      <c r="L234" s="1" t="str">
        <f>VLOOKUP(K234,List!$B$1:$D$10,2,0)</f>
        <v>Gastos</v>
      </c>
      <c r="M234" s="1" t="str">
        <f>VLOOKUP(K234,List!$B$1:$D$10,3,0)</f>
        <v>Resultado</v>
      </c>
      <c r="N234" s="1" t="str">
        <f t="shared" si="10"/>
        <v>52</v>
      </c>
      <c r="O234" s="1" t="str">
        <f>VLOOKUP(N234,List!$F$1:$G$36,2,0)</f>
        <v>Ventas</v>
      </c>
      <c r="P234" s="1" t="str">
        <f t="shared" si="11"/>
        <v>5205</v>
      </c>
      <c r="Q234" s="1" t="str">
        <f>VLOOKUP(P234,PUC!$A$7:$B$869,2,0)</f>
        <v xml:space="preserve">Gastos de personal</v>
      </c>
      <c r="R234" s="6" t="s">
        <v>1423</v>
      </c>
      <c r="S234" s="6">
        <f>VLOOKUP(N234,List!$F:$H,3,0)</f>
        <v>0</v>
      </c>
    </row>
    <row r="235">
      <c r="A235" s="1">
        <v>674</v>
      </c>
      <c r="B235" s="3" t="s">
        <v>1177</v>
      </c>
      <c r="C235" s="3" t="s">
        <v>845</v>
      </c>
      <c r="D235" s="3" t="s">
        <v>835</v>
      </c>
      <c r="E235" s="3" t="s">
        <v>836</v>
      </c>
      <c r="F235" s="3" t="s">
        <v>21</v>
      </c>
      <c r="G235" s="3" t="s">
        <v>22</v>
      </c>
      <c r="H235" s="3" t="s">
        <v>23</v>
      </c>
      <c r="I235" s="3" t="s">
        <v>24</v>
      </c>
      <c r="J235" s="3" t="s">
        <v>25</v>
      </c>
      <c r="K235" s="1">
        <f t="shared" si="9"/>
        <v>5</v>
      </c>
      <c r="L235" s="1" t="str">
        <f>VLOOKUP(K235,List!$B$1:$D$10,2,0)</f>
        <v>Gastos</v>
      </c>
      <c r="M235" s="1" t="str">
        <f>VLOOKUP(K235,List!$B$1:$D$10,3,0)</f>
        <v>Resultado</v>
      </c>
      <c r="N235" s="1" t="str">
        <f t="shared" si="10"/>
        <v>52</v>
      </c>
      <c r="O235" s="1" t="str">
        <f>VLOOKUP(N235,List!$F$1:$G$36,2,0)</f>
        <v>Ventas</v>
      </c>
      <c r="P235" s="1" t="str">
        <f t="shared" si="11"/>
        <v>5205</v>
      </c>
      <c r="Q235" s="1" t="str">
        <f>VLOOKUP(P235,PUC!$A$7:$B$869,2,0)</f>
        <v xml:space="preserve">Gastos de personal</v>
      </c>
      <c r="R235" s="6" t="s">
        <v>1423</v>
      </c>
      <c r="S235" s="6">
        <f>VLOOKUP(N235,List!$F:$H,3,0)</f>
        <v>0</v>
      </c>
    </row>
    <row r="236">
      <c r="A236" s="1">
        <v>675</v>
      </c>
      <c r="B236" s="3" t="s">
        <v>1178</v>
      </c>
      <c r="C236" s="3" t="s">
        <v>848</v>
      </c>
      <c r="D236" s="3" t="s">
        <v>835</v>
      </c>
      <c r="E236" s="3" t="s">
        <v>836</v>
      </c>
      <c r="F236" s="3" t="s">
        <v>21</v>
      </c>
      <c r="G236" s="3" t="s">
        <v>22</v>
      </c>
      <c r="H236" s="3" t="s">
        <v>24</v>
      </c>
      <c r="I236" s="3" t="s">
        <v>24</v>
      </c>
      <c r="J236" s="3" t="s">
        <v>25</v>
      </c>
      <c r="K236" s="1">
        <f t="shared" si="9"/>
        <v>5</v>
      </c>
      <c r="L236" s="1" t="str">
        <f>VLOOKUP(K236,List!$B$1:$D$10,2,0)</f>
        <v>Gastos</v>
      </c>
      <c r="M236" s="1" t="str">
        <f>VLOOKUP(K236,List!$B$1:$D$10,3,0)</f>
        <v>Resultado</v>
      </c>
      <c r="N236" s="1" t="str">
        <f t="shared" si="10"/>
        <v>52</v>
      </c>
      <c r="O236" s="1" t="str">
        <f>VLOOKUP(N236,List!$F$1:$G$36,2,0)</f>
        <v>Ventas</v>
      </c>
      <c r="P236" s="1" t="str">
        <f t="shared" si="11"/>
        <v>5205</v>
      </c>
      <c r="Q236" s="1" t="str">
        <f>VLOOKUP(P236,PUC!$A$7:$B$869,2,0)</f>
        <v xml:space="preserve">Gastos de personal</v>
      </c>
      <c r="R236" s="6" t="s">
        <v>1423</v>
      </c>
      <c r="S236" s="6">
        <f>VLOOKUP(N236,List!$F:$H,3,0)</f>
        <v>0</v>
      </c>
    </row>
    <row r="237">
      <c r="A237" s="1">
        <v>677</v>
      </c>
      <c r="B237" s="3" t="s">
        <v>1180</v>
      </c>
      <c r="C237" s="3" t="s">
        <v>850</v>
      </c>
      <c r="D237" s="3" t="s">
        <v>835</v>
      </c>
      <c r="E237" s="3" t="s">
        <v>836</v>
      </c>
      <c r="F237" s="3" t="s">
        <v>21</v>
      </c>
      <c r="G237" s="3" t="s">
        <v>22</v>
      </c>
      <c r="H237" s="3" t="s">
        <v>23</v>
      </c>
      <c r="I237" s="3" t="s">
        <v>24</v>
      </c>
      <c r="J237" s="3" t="s">
        <v>25</v>
      </c>
      <c r="K237" s="1">
        <f t="shared" si="9"/>
        <v>5</v>
      </c>
      <c r="L237" s="1" t="str">
        <f>VLOOKUP(K237,List!$B$1:$D$10,2,0)</f>
        <v>Gastos</v>
      </c>
      <c r="M237" s="1" t="str">
        <f>VLOOKUP(K237,List!$B$1:$D$10,3,0)</f>
        <v>Resultado</v>
      </c>
      <c r="N237" s="1" t="str">
        <f t="shared" si="10"/>
        <v>52</v>
      </c>
      <c r="O237" s="1" t="str">
        <f>VLOOKUP(N237,List!$F$1:$G$36,2,0)</f>
        <v>Ventas</v>
      </c>
      <c r="P237" s="1" t="str">
        <f t="shared" si="11"/>
        <v>5205</v>
      </c>
      <c r="Q237" s="1" t="str">
        <f>VLOOKUP(P237,PUC!$A$7:$B$869,2,0)</f>
        <v xml:space="preserve">Gastos de personal</v>
      </c>
      <c r="R237" s="6" t="s">
        <v>1423</v>
      </c>
      <c r="S237" s="6">
        <f>VLOOKUP(N237,List!$F:$H,3,0)</f>
        <v>0</v>
      </c>
    </row>
    <row r="238">
      <c r="A238" s="1">
        <v>678</v>
      </c>
      <c r="B238" s="3" t="s">
        <v>1181</v>
      </c>
      <c r="C238" s="3" t="s">
        <v>853</v>
      </c>
      <c r="D238" s="3" t="s">
        <v>835</v>
      </c>
      <c r="E238" s="3" t="s">
        <v>836</v>
      </c>
      <c r="F238" s="3" t="s">
        <v>21</v>
      </c>
      <c r="G238" s="3" t="s">
        <v>22</v>
      </c>
      <c r="H238" s="3" t="s">
        <v>24</v>
      </c>
      <c r="I238" s="3" t="s">
        <v>24</v>
      </c>
      <c r="J238" s="3" t="s">
        <v>25</v>
      </c>
      <c r="K238" s="1">
        <f t="shared" si="9"/>
        <v>5</v>
      </c>
      <c r="L238" s="1" t="str">
        <f>VLOOKUP(K238,List!$B$1:$D$10,2,0)</f>
        <v>Gastos</v>
      </c>
      <c r="M238" s="1" t="str">
        <f>VLOOKUP(K238,List!$B$1:$D$10,3,0)</f>
        <v>Resultado</v>
      </c>
      <c r="N238" s="1" t="str">
        <f t="shared" si="10"/>
        <v>52</v>
      </c>
      <c r="O238" s="1" t="str">
        <f>VLOOKUP(N238,List!$F$1:$G$36,2,0)</f>
        <v>Ventas</v>
      </c>
      <c r="P238" s="1" t="str">
        <f t="shared" si="11"/>
        <v>5205</v>
      </c>
      <c r="Q238" s="1" t="str">
        <f>VLOOKUP(P238,PUC!$A$7:$B$869,2,0)</f>
        <v xml:space="preserve">Gastos de personal</v>
      </c>
      <c r="R238" s="6" t="s">
        <v>1423</v>
      </c>
      <c r="S238" s="6">
        <f>VLOOKUP(N238,List!$F:$H,3,0)</f>
        <v>0</v>
      </c>
    </row>
    <row r="239">
      <c r="A239" s="1">
        <v>680</v>
      </c>
      <c r="B239" s="3" t="s">
        <v>1183</v>
      </c>
      <c r="C239" s="3" t="s">
        <v>220</v>
      </c>
      <c r="D239" s="3" t="s">
        <v>835</v>
      </c>
      <c r="E239" s="3" t="s">
        <v>836</v>
      </c>
      <c r="F239" s="3" t="s">
        <v>21</v>
      </c>
      <c r="G239" s="3" t="s">
        <v>22</v>
      </c>
      <c r="H239" s="3" t="s">
        <v>23</v>
      </c>
      <c r="I239" s="3" t="s">
        <v>24</v>
      </c>
      <c r="J239" s="3" t="s">
        <v>25</v>
      </c>
      <c r="K239" s="1">
        <f t="shared" si="9"/>
        <v>5</v>
      </c>
      <c r="L239" s="1" t="str">
        <f>VLOOKUP(K239,List!$B$1:$D$10,2,0)</f>
        <v>Gastos</v>
      </c>
      <c r="M239" s="1" t="str">
        <f>VLOOKUP(K239,List!$B$1:$D$10,3,0)</f>
        <v>Resultado</v>
      </c>
      <c r="N239" s="1" t="str">
        <f t="shared" si="10"/>
        <v>52</v>
      </c>
      <c r="O239" s="1" t="str">
        <f>VLOOKUP(N239,List!$F$1:$G$36,2,0)</f>
        <v>Ventas</v>
      </c>
      <c r="P239" s="1" t="str">
        <f t="shared" si="11"/>
        <v>5205</v>
      </c>
      <c r="Q239" s="1" t="str">
        <f>VLOOKUP(P239,PUC!$A$7:$B$869,2,0)</f>
        <v xml:space="preserve">Gastos de personal</v>
      </c>
      <c r="R239" s="6" t="s">
        <v>1423</v>
      </c>
      <c r="S239" s="6">
        <f>VLOOKUP(N239,List!$F:$H,3,0)</f>
        <v>0</v>
      </c>
    </row>
    <row r="240">
      <c r="A240" s="1">
        <v>681</v>
      </c>
      <c r="B240" s="3" t="s">
        <v>1184</v>
      </c>
      <c r="C240" s="3" t="s">
        <v>857</v>
      </c>
      <c r="D240" s="3" t="s">
        <v>835</v>
      </c>
      <c r="E240" s="3" t="s">
        <v>836</v>
      </c>
      <c r="F240" s="3" t="s">
        <v>21</v>
      </c>
      <c r="G240" s="3" t="s">
        <v>22</v>
      </c>
      <c r="H240" s="3" t="s">
        <v>24</v>
      </c>
      <c r="I240" s="3" t="s">
        <v>24</v>
      </c>
      <c r="J240" s="3" t="s">
        <v>25</v>
      </c>
      <c r="K240" s="1">
        <f t="shared" si="9"/>
        <v>5</v>
      </c>
      <c r="L240" s="1" t="str">
        <f>VLOOKUP(K240,List!$B$1:$D$10,2,0)</f>
        <v>Gastos</v>
      </c>
      <c r="M240" s="1" t="str">
        <f>VLOOKUP(K240,List!$B$1:$D$10,3,0)</f>
        <v>Resultado</v>
      </c>
      <c r="N240" s="1" t="str">
        <f t="shared" si="10"/>
        <v>52</v>
      </c>
      <c r="O240" s="1" t="str">
        <f>VLOOKUP(N240,List!$F$1:$G$36,2,0)</f>
        <v>Ventas</v>
      </c>
      <c r="P240" s="1" t="str">
        <f t="shared" si="11"/>
        <v>5205</v>
      </c>
      <c r="Q240" s="1" t="str">
        <f>VLOOKUP(P240,PUC!$A$7:$B$869,2,0)</f>
        <v xml:space="preserve">Gastos de personal</v>
      </c>
      <c r="R240" s="6" t="s">
        <v>1423</v>
      </c>
      <c r="S240" s="6">
        <f>VLOOKUP(N240,List!$F:$H,3,0)</f>
        <v>0</v>
      </c>
    </row>
    <row r="241">
      <c r="A241" s="1">
        <v>683</v>
      </c>
      <c r="B241" s="3" t="s">
        <v>1186</v>
      </c>
      <c r="C241" s="3" t="s">
        <v>859</v>
      </c>
      <c r="D241" s="3" t="s">
        <v>835</v>
      </c>
      <c r="E241" s="3" t="s">
        <v>836</v>
      </c>
      <c r="F241" s="3" t="s">
        <v>21</v>
      </c>
      <c r="G241" s="3" t="s">
        <v>22</v>
      </c>
      <c r="H241" s="3" t="s">
        <v>23</v>
      </c>
      <c r="I241" s="3" t="s">
        <v>24</v>
      </c>
      <c r="J241" s="3" t="s">
        <v>25</v>
      </c>
      <c r="K241" s="1">
        <f t="shared" si="9"/>
        <v>5</v>
      </c>
      <c r="L241" s="1" t="str">
        <f>VLOOKUP(K241,List!$B$1:$D$10,2,0)</f>
        <v>Gastos</v>
      </c>
      <c r="M241" s="1" t="str">
        <f>VLOOKUP(K241,List!$B$1:$D$10,3,0)</f>
        <v>Resultado</v>
      </c>
      <c r="N241" s="1" t="str">
        <f t="shared" si="10"/>
        <v>52</v>
      </c>
      <c r="O241" s="1" t="str">
        <f>VLOOKUP(N241,List!$F$1:$G$36,2,0)</f>
        <v>Ventas</v>
      </c>
      <c r="P241" s="1" t="str">
        <f t="shared" si="11"/>
        <v>5205</v>
      </c>
      <c r="Q241" s="1" t="str">
        <f>VLOOKUP(P241,PUC!$A$7:$B$869,2,0)</f>
        <v xml:space="preserve">Gastos de personal</v>
      </c>
      <c r="R241" s="6" t="s">
        <v>1423</v>
      </c>
      <c r="S241" s="6">
        <f>VLOOKUP(N241,List!$F:$H,3,0)</f>
        <v>0</v>
      </c>
    </row>
    <row r="242">
      <c r="A242" s="1">
        <v>684</v>
      </c>
      <c r="B242" s="3" t="s">
        <v>1187</v>
      </c>
      <c r="C242" s="3" t="s">
        <v>862</v>
      </c>
      <c r="D242" s="3" t="s">
        <v>835</v>
      </c>
      <c r="E242" s="3" t="s">
        <v>836</v>
      </c>
      <c r="F242" s="3" t="s">
        <v>21</v>
      </c>
      <c r="G242" s="3" t="s">
        <v>22</v>
      </c>
      <c r="H242" s="3" t="s">
        <v>24</v>
      </c>
      <c r="I242" s="3" t="s">
        <v>24</v>
      </c>
      <c r="J242" s="3" t="s">
        <v>25</v>
      </c>
      <c r="K242" s="1">
        <f t="shared" si="9"/>
        <v>5</v>
      </c>
      <c r="L242" s="1" t="str">
        <f>VLOOKUP(K242,List!$B$1:$D$10,2,0)</f>
        <v>Gastos</v>
      </c>
      <c r="M242" s="1" t="str">
        <f>VLOOKUP(K242,List!$B$1:$D$10,3,0)</f>
        <v>Resultado</v>
      </c>
      <c r="N242" s="1" t="str">
        <f t="shared" si="10"/>
        <v>52</v>
      </c>
      <c r="O242" s="1" t="str">
        <f>VLOOKUP(N242,List!$F$1:$G$36,2,0)</f>
        <v>Ventas</v>
      </c>
      <c r="P242" s="1" t="str">
        <f t="shared" si="11"/>
        <v>5205</v>
      </c>
      <c r="Q242" s="1" t="str">
        <f>VLOOKUP(P242,PUC!$A$7:$B$869,2,0)</f>
        <v xml:space="preserve">Gastos de personal</v>
      </c>
      <c r="R242" s="6" t="s">
        <v>1423</v>
      </c>
      <c r="S242" s="6">
        <f>VLOOKUP(N242,List!$F:$H,3,0)</f>
        <v>0</v>
      </c>
    </row>
    <row r="243">
      <c r="A243" s="1">
        <v>686</v>
      </c>
      <c r="B243" s="3" t="s">
        <v>1189</v>
      </c>
      <c r="C243" s="3" t="s">
        <v>636</v>
      </c>
      <c r="D243" s="3" t="s">
        <v>835</v>
      </c>
      <c r="E243" s="3" t="s">
        <v>836</v>
      </c>
      <c r="F243" s="3" t="s">
        <v>21</v>
      </c>
      <c r="G243" s="3" t="s">
        <v>22</v>
      </c>
      <c r="H243" s="3" t="s">
        <v>23</v>
      </c>
      <c r="I243" s="3" t="s">
        <v>24</v>
      </c>
      <c r="J243" s="3" t="s">
        <v>25</v>
      </c>
      <c r="K243" s="1">
        <f t="shared" si="9"/>
        <v>5</v>
      </c>
      <c r="L243" s="1" t="str">
        <f>VLOOKUP(K243,List!$B$1:$D$10,2,0)</f>
        <v>Gastos</v>
      </c>
      <c r="M243" s="1" t="str">
        <f>VLOOKUP(K243,List!$B$1:$D$10,3,0)</f>
        <v>Resultado</v>
      </c>
      <c r="N243" s="1" t="str">
        <f t="shared" si="10"/>
        <v>52</v>
      </c>
      <c r="O243" s="1" t="str">
        <f>VLOOKUP(N243,List!$F$1:$G$36,2,0)</f>
        <v>Ventas</v>
      </c>
      <c r="P243" s="1" t="str">
        <f t="shared" si="11"/>
        <v>5205</v>
      </c>
      <c r="Q243" s="1" t="str">
        <f>VLOOKUP(P243,PUC!$A$7:$B$869,2,0)</f>
        <v xml:space="preserve">Gastos de personal</v>
      </c>
      <c r="R243" s="6" t="s">
        <v>1423</v>
      </c>
      <c r="S243" s="6">
        <f>VLOOKUP(N243,List!$F:$H,3,0)</f>
        <v>0</v>
      </c>
    </row>
    <row r="244">
      <c r="A244" s="1">
        <v>687</v>
      </c>
      <c r="B244" s="3" t="s">
        <v>1190</v>
      </c>
      <c r="C244" s="3" t="s">
        <v>866</v>
      </c>
      <c r="D244" s="3" t="s">
        <v>835</v>
      </c>
      <c r="E244" s="3" t="s">
        <v>836</v>
      </c>
      <c r="F244" s="3" t="s">
        <v>21</v>
      </c>
      <c r="G244" s="3" t="s">
        <v>22</v>
      </c>
      <c r="H244" s="3" t="s">
        <v>24</v>
      </c>
      <c r="I244" s="3" t="s">
        <v>24</v>
      </c>
      <c r="J244" s="3" t="s">
        <v>25</v>
      </c>
      <c r="K244" s="1">
        <f t="shared" si="9"/>
        <v>5</v>
      </c>
      <c r="L244" s="1" t="str">
        <f>VLOOKUP(K244,List!$B$1:$D$10,2,0)</f>
        <v>Gastos</v>
      </c>
      <c r="M244" s="1" t="str">
        <f>VLOOKUP(K244,List!$B$1:$D$10,3,0)</f>
        <v>Resultado</v>
      </c>
      <c r="N244" s="1" t="str">
        <f t="shared" si="10"/>
        <v>52</v>
      </c>
      <c r="O244" s="1" t="str">
        <f>VLOOKUP(N244,List!$F$1:$G$36,2,0)</f>
        <v>Ventas</v>
      </c>
      <c r="P244" s="1" t="str">
        <f t="shared" si="11"/>
        <v>5205</v>
      </c>
      <c r="Q244" s="1" t="str">
        <f>VLOOKUP(P244,PUC!$A$7:$B$869,2,0)</f>
        <v xml:space="preserve">Gastos de personal</v>
      </c>
      <c r="R244" s="6" t="s">
        <v>1423</v>
      </c>
      <c r="S244" s="6">
        <f>VLOOKUP(N244,List!$F:$H,3,0)</f>
        <v>0</v>
      </c>
    </row>
    <row r="245">
      <c r="A245" s="1">
        <v>689</v>
      </c>
      <c r="B245" s="3" t="s">
        <v>1192</v>
      </c>
      <c r="C245" s="3" t="s">
        <v>640</v>
      </c>
      <c r="D245" s="3" t="s">
        <v>835</v>
      </c>
      <c r="E245" s="3" t="s">
        <v>836</v>
      </c>
      <c r="F245" s="3" t="s">
        <v>21</v>
      </c>
      <c r="G245" s="3" t="s">
        <v>22</v>
      </c>
      <c r="H245" s="3" t="s">
        <v>23</v>
      </c>
      <c r="I245" s="3" t="s">
        <v>24</v>
      </c>
      <c r="J245" s="3" t="s">
        <v>25</v>
      </c>
      <c r="K245" s="1">
        <f t="shared" si="9"/>
        <v>5</v>
      </c>
      <c r="L245" s="1" t="str">
        <f>VLOOKUP(K245,List!$B$1:$D$10,2,0)</f>
        <v>Gastos</v>
      </c>
      <c r="M245" s="1" t="str">
        <f>VLOOKUP(K245,List!$B$1:$D$10,3,0)</f>
        <v>Resultado</v>
      </c>
      <c r="N245" s="1" t="str">
        <f t="shared" si="10"/>
        <v>52</v>
      </c>
      <c r="O245" s="1" t="str">
        <f>VLOOKUP(N245,List!$F$1:$G$36,2,0)</f>
        <v>Ventas</v>
      </c>
      <c r="P245" s="1" t="str">
        <f t="shared" si="11"/>
        <v>5205</v>
      </c>
      <c r="Q245" s="1" t="str">
        <f>VLOOKUP(P245,PUC!$A$7:$B$869,2,0)</f>
        <v xml:space="preserve">Gastos de personal</v>
      </c>
      <c r="R245" s="6" t="s">
        <v>1423</v>
      </c>
      <c r="S245" s="6">
        <f>VLOOKUP(N245,List!$F:$H,3,0)</f>
        <v>0</v>
      </c>
    </row>
    <row r="246">
      <c r="A246" s="1">
        <v>690</v>
      </c>
      <c r="B246" s="3" t="s">
        <v>1193</v>
      </c>
      <c r="C246" s="3" t="s">
        <v>870</v>
      </c>
      <c r="D246" s="3" t="s">
        <v>835</v>
      </c>
      <c r="E246" s="3" t="s">
        <v>836</v>
      </c>
      <c r="F246" s="3" t="s">
        <v>21</v>
      </c>
      <c r="G246" s="3" t="s">
        <v>22</v>
      </c>
      <c r="H246" s="3" t="s">
        <v>24</v>
      </c>
      <c r="I246" s="3" t="s">
        <v>24</v>
      </c>
      <c r="J246" s="3" t="s">
        <v>25</v>
      </c>
      <c r="K246" s="1">
        <f t="shared" si="9"/>
        <v>5</v>
      </c>
      <c r="L246" s="1" t="str">
        <f>VLOOKUP(K246,List!$B$1:$D$10,2,0)</f>
        <v>Gastos</v>
      </c>
      <c r="M246" s="1" t="str">
        <f>VLOOKUP(K246,List!$B$1:$D$10,3,0)</f>
        <v>Resultado</v>
      </c>
      <c r="N246" s="1" t="str">
        <f t="shared" si="10"/>
        <v>52</v>
      </c>
      <c r="O246" s="1" t="str">
        <f>VLOOKUP(N246,List!$F$1:$G$36,2,0)</f>
        <v>Ventas</v>
      </c>
      <c r="P246" s="1" t="str">
        <f t="shared" si="11"/>
        <v>5205</v>
      </c>
      <c r="Q246" s="1" t="str">
        <f>VLOOKUP(P246,PUC!$A$7:$B$869,2,0)</f>
        <v xml:space="preserve">Gastos de personal</v>
      </c>
      <c r="R246" s="6" t="s">
        <v>1423</v>
      </c>
      <c r="S246" s="6">
        <f>VLOOKUP(N246,List!$F:$H,3,0)</f>
        <v>0</v>
      </c>
    </row>
    <row r="247">
      <c r="A247" s="1">
        <v>692</v>
      </c>
      <c r="B247" s="3" t="s">
        <v>1195</v>
      </c>
      <c r="C247" s="3" t="s">
        <v>648</v>
      </c>
      <c r="D247" s="3" t="s">
        <v>835</v>
      </c>
      <c r="E247" s="3" t="s">
        <v>836</v>
      </c>
      <c r="F247" s="3" t="s">
        <v>21</v>
      </c>
      <c r="G247" s="3" t="s">
        <v>22</v>
      </c>
      <c r="H247" s="3" t="s">
        <v>23</v>
      </c>
      <c r="I247" s="3" t="s">
        <v>24</v>
      </c>
      <c r="J247" s="3" t="s">
        <v>25</v>
      </c>
      <c r="K247" s="1">
        <f t="shared" si="9"/>
        <v>5</v>
      </c>
      <c r="L247" s="1" t="str">
        <f>VLOOKUP(K247,List!$B$1:$D$10,2,0)</f>
        <v>Gastos</v>
      </c>
      <c r="M247" s="1" t="str">
        <f>VLOOKUP(K247,List!$B$1:$D$10,3,0)</f>
        <v>Resultado</v>
      </c>
      <c r="N247" s="1" t="str">
        <f t="shared" si="10"/>
        <v>52</v>
      </c>
      <c r="O247" s="1" t="str">
        <f>VLOOKUP(N247,List!$F$1:$G$36,2,0)</f>
        <v>Ventas</v>
      </c>
      <c r="P247" s="1" t="str">
        <f t="shared" si="11"/>
        <v>5205</v>
      </c>
      <c r="Q247" s="1" t="str">
        <f>VLOOKUP(P247,PUC!$A$7:$B$869,2,0)</f>
        <v xml:space="preserve">Gastos de personal</v>
      </c>
      <c r="R247" s="6" t="s">
        <v>1423</v>
      </c>
      <c r="S247" s="6">
        <f>VLOOKUP(N247,List!$F:$H,3,0)</f>
        <v>0</v>
      </c>
    </row>
    <row r="248">
      <c r="A248" s="1">
        <v>693</v>
      </c>
      <c r="B248" s="3" t="s">
        <v>1196</v>
      </c>
      <c r="C248" s="3" t="s">
        <v>874</v>
      </c>
      <c r="D248" s="3" t="s">
        <v>835</v>
      </c>
      <c r="E248" s="3" t="s">
        <v>836</v>
      </c>
      <c r="F248" s="3" t="s">
        <v>21</v>
      </c>
      <c r="G248" s="3" t="s">
        <v>22</v>
      </c>
      <c r="H248" s="3" t="s">
        <v>24</v>
      </c>
      <c r="I248" s="3" t="s">
        <v>24</v>
      </c>
      <c r="J248" s="3" t="s">
        <v>25</v>
      </c>
      <c r="K248" s="1">
        <f t="shared" si="9"/>
        <v>5</v>
      </c>
      <c r="L248" s="1" t="str">
        <f>VLOOKUP(K248,List!$B$1:$D$10,2,0)</f>
        <v>Gastos</v>
      </c>
      <c r="M248" s="1" t="str">
        <f>VLOOKUP(K248,List!$B$1:$D$10,3,0)</f>
        <v>Resultado</v>
      </c>
      <c r="N248" s="1" t="str">
        <f t="shared" si="10"/>
        <v>52</v>
      </c>
      <c r="O248" s="1" t="str">
        <f>VLOOKUP(N248,List!$F$1:$G$36,2,0)</f>
        <v>Ventas</v>
      </c>
      <c r="P248" s="1" t="str">
        <f t="shared" si="11"/>
        <v>5205</v>
      </c>
      <c r="Q248" s="1" t="str">
        <f>VLOOKUP(P248,PUC!$A$7:$B$869,2,0)</f>
        <v xml:space="preserve">Gastos de personal</v>
      </c>
      <c r="R248" s="6" t="s">
        <v>1423</v>
      </c>
      <c r="S248" s="6">
        <f>VLOOKUP(N248,List!$F:$H,3,0)</f>
        <v>0</v>
      </c>
    </row>
    <row r="249">
      <c r="A249" s="1">
        <v>695</v>
      </c>
      <c r="B249" s="3" t="s">
        <v>1198</v>
      </c>
      <c r="C249" s="3" t="s">
        <v>644</v>
      </c>
      <c r="D249" s="3" t="s">
        <v>835</v>
      </c>
      <c r="E249" s="3" t="s">
        <v>836</v>
      </c>
      <c r="F249" s="3" t="s">
        <v>21</v>
      </c>
      <c r="G249" s="3" t="s">
        <v>22</v>
      </c>
      <c r="H249" s="3" t="s">
        <v>23</v>
      </c>
      <c r="I249" s="3" t="s">
        <v>24</v>
      </c>
      <c r="J249" s="3" t="s">
        <v>25</v>
      </c>
      <c r="K249" s="1">
        <f t="shared" si="9"/>
        <v>5</v>
      </c>
      <c r="L249" s="1" t="str">
        <f>VLOOKUP(K249,List!$B$1:$D$10,2,0)</f>
        <v>Gastos</v>
      </c>
      <c r="M249" s="1" t="str">
        <f>VLOOKUP(K249,List!$B$1:$D$10,3,0)</f>
        <v>Resultado</v>
      </c>
      <c r="N249" s="1" t="str">
        <f t="shared" si="10"/>
        <v>52</v>
      </c>
      <c r="O249" s="1" t="str">
        <f>VLOOKUP(N249,List!$F$1:$G$36,2,0)</f>
        <v>Ventas</v>
      </c>
      <c r="P249" s="1" t="str">
        <f t="shared" si="11"/>
        <v>5205</v>
      </c>
      <c r="Q249" s="1" t="str">
        <f>VLOOKUP(P249,PUC!$A$7:$B$869,2,0)</f>
        <v xml:space="preserve">Gastos de personal</v>
      </c>
      <c r="R249" s="6" t="s">
        <v>1423</v>
      </c>
      <c r="S249" s="6">
        <f>VLOOKUP(N249,List!$F:$H,3,0)</f>
        <v>0</v>
      </c>
    </row>
    <row r="250">
      <c r="A250" s="1">
        <v>696</v>
      </c>
      <c r="B250" s="3" t="s">
        <v>1199</v>
      </c>
      <c r="C250" s="3" t="s">
        <v>878</v>
      </c>
      <c r="D250" s="3" t="s">
        <v>835</v>
      </c>
      <c r="E250" s="3" t="s">
        <v>836</v>
      </c>
      <c r="F250" s="3" t="s">
        <v>21</v>
      </c>
      <c r="G250" s="3" t="s">
        <v>22</v>
      </c>
      <c r="H250" s="3" t="s">
        <v>24</v>
      </c>
      <c r="I250" s="3" t="s">
        <v>24</v>
      </c>
      <c r="J250" s="3" t="s">
        <v>25</v>
      </c>
      <c r="K250" s="1">
        <f t="shared" si="9"/>
        <v>5</v>
      </c>
      <c r="L250" s="1" t="str">
        <f>VLOOKUP(K250,List!$B$1:$D$10,2,0)</f>
        <v>Gastos</v>
      </c>
      <c r="M250" s="1" t="str">
        <f>VLOOKUP(K250,List!$B$1:$D$10,3,0)</f>
        <v>Resultado</v>
      </c>
      <c r="N250" s="1" t="str">
        <f t="shared" si="10"/>
        <v>52</v>
      </c>
      <c r="O250" s="1" t="str">
        <f>VLOOKUP(N250,List!$F$1:$G$36,2,0)</f>
        <v>Ventas</v>
      </c>
      <c r="P250" s="1" t="str">
        <f t="shared" si="11"/>
        <v>5205</v>
      </c>
      <c r="Q250" s="1" t="str">
        <f>VLOOKUP(P250,PUC!$A$7:$B$869,2,0)</f>
        <v xml:space="preserve">Gastos de personal</v>
      </c>
      <c r="R250" s="6" t="s">
        <v>1423</v>
      </c>
      <c r="S250" s="6">
        <f>VLOOKUP(N250,List!$F:$H,3,0)</f>
        <v>0</v>
      </c>
    </row>
    <row r="251">
      <c r="A251" s="1">
        <v>698</v>
      </c>
      <c r="B251" s="3" t="s">
        <v>1201</v>
      </c>
      <c r="C251" s="3" t="s">
        <v>882</v>
      </c>
      <c r="D251" s="3" t="s">
        <v>835</v>
      </c>
      <c r="E251" s="3" t="s">
        <v>836</v>
      </c>
      <c r="F251" s="3" t="s">
        <v>21</v>
      </c>
      <c r="G251" s="3" t="s">
        <v>22</v>
      </c>
      <c r="H251" s="3" t="s">
        <v>23</v>
      </c>
      <c r="I251" s="3" t="s">
        <v>24</v>
      </c>
      <c r="J251" s="3" t="s">
        <v>25</v>
      </c>
      <c r="K251" s="1">
        <f t="shared" si="9"/>
        <v>5</v>
      </c>
      <c r="L251" s="1" t="str">
        <f>VLOOKUP(K251,List!$B$1:$D$10,2,0)</f>
        <v>Gastos</v>
      </c>
      <c r="M251" s="1" t="str">
        <f>VLOOKUP(K251,List!$B$1:$D$10,3,0)</f>
        <v>Resultado</v>
      </c>
      <c r="N251" s="1" t="str">
        <f t="shared" si="10"/>
        <v>52</v>
      </c>
      <c r="O251" s="1" t="str">
        <f>VLOOKUP(N251,List!$F$1:$G$36,2,0)</f>
        <v>Ventas</v>
      </c>
      <c r="P251" s="1" t="str">
        <f t="shared" si="11"/>
        <v>5205</v>
      </c>
      <c r="Q251" s="1" t="str">
        <f>VLOOKUP(P251,PUC!$A$7:$B$869,2,0)</f>
        <v xml:space="preserve">Gastos de personal</v>
      </c>
      <c r="R251" s="6" t="s">
        <v>1423</v>
      </c>
      <c r="S251" s="6">
        <f>VLOOKUP(N251,List!$F:$H,3,0)</f>
        <v>0</v>
      </c>
    </row>
    <row r="252">
      <c r="A252" s="1">
        <v>699</v>
      </c>
      <c r="B252" s="3" t="s">
        <v>1202</v>
      </c>
      <c r="C252" s="3" t="s">
        <v>884</v>
      </c>
      <c r="D252" s="3" t="s">
        <v>835</v>
      </c>
      <c r="E252" s="3" t="s">
        <v>836</v>
      </c>
      <c r="F252" s="3" t="s">
        <v>21</v>
      </c>
      <c r="G252" s="3" t="s">
        <v>22</v>
      </c>
      <c r="H252" s="3" t="s">
        <v>23</v>
      </c>
      <c r="I252" s="3" t="s">
        <v>24</v>
      </c>
      <c r="J252" s="3" t="s">
        <v>25</v>
      </c>
      <c r="K252" s="1">
        <f t="shared" si="9"/>
        <v>5</v>
      </c>
      <c r="L252" s="1" t="str">
        <f>VLOOKUP(K252,List!$B$1:$D$10,2,0)</f>
        <v>Gastos</v>
      </c>
      <c r="M252" s="1" t="str">
        <f>VLOOKUP(K252,List!$B$1:$D$10,3,0)</f>
        <v>Resultado</v>
      </c>
      <c r="N252" s="1" t="str">
        <f t="shared" si="10"/>
        <v>52</v>
      </c>
      <c r="O252" s="1" t="str">
        <f>VLOOKUP(N252,List!$F$1:$G$36,2,0)</f>
        <v>Ventas</v>
      </c>
      <c r="P252" s="1" t="str">
        <f t="shared" si="11"/>
        <v>5205</v>
      </c>
      <c r="Q252" s="1" t="str">
        <f>VLOOKUP(P252,PUC!$A$7:$B$869,2,0)</f>
        <v xml:space="preserve">Gastos de personal</v>
      </c>
      <c r="R252" s="6" t="s">
        <v>1423</v>
      </c>
      <c r="S252" s="6">
        <f>VLOOKUP(N252,List!$F:$H,3,0)</f>
        <v>0</v>
      </c>
    </row>
    <row r="253">
      <c r="A253" s="1">
        <v>700</v>
      </c>
      <c r="B253" s="3" t="s">
        <v>1203</v>
      </c>
      <c r="C253" s="3" t="s">
        <v>886</v>
      </c>
      <c r="D253" s="3" t="s">
        <v>835</v>
      </c>
      <c r="E253" s="3" t="s">
        <v>836</v>
      </c>
      <c r="F253" s="3" t="s">
        <v>21</v>
      </c>
      <c r="G253" s="3" t="s">
        <v>22</v>
      </c>
      <c r="H253" s="3" t="s">
        <v>24</v>
      </c>
      <c r="I253" s="3" t="s">
        <v>24</v>
      </c>
      <c r="J253" s="3" t="s">
        <v>25</v>
      </c>
      <c r="K253" s="1">
        <f t="shared" si="9"/>
        <v>5</v>
      </c>
      <c r="L253" s="1" t="str">
        <f>VLOOKUP(K253,List!$B$1:$D$10,2,0)</f>
        <v>Gastos</v>
      </c>
      <c r="M253" s="1" t="str">
        <f>VLOOKUP(K253,List!$B$1:$D$10,3,0)</f>
        <v>Resultado</v>
      </c>
      <c r="N253" s="1" t="str">
        <f t="shared" si="10"/>
        <v>52</v>
      </c>
      <c r="O253" s="1" t="str">
        <f>VLOOKUP(N253,List!$F$1:$G$36,2,0)</f>
        <v>Ventas</v>
      </c>
      <c r="P253" s="1" t="str">
        <f t="shared" si="11"/>
        <v>5205</v>
      </c>
      <c r="Q253" s="1" t="str">
        <f>VLOOKUP(P253,PUC!$A$7:$B$869,2,0)</f>
        <v xml:space="preserve">Gastos de personal</v>
      </c>
      <c r="R253" s="6" t="s">
        <v>1423</v>
      </c>
      <c r="S253" s="6">
        <f>VLOOKUP(N253,List!$F:$H,3,0)</f>
        <v>0</v>
      </c>
    </row>
    <row r="254">
      <c r="A254" s="1">
        <v>702</v>
      </c>
      <c r="B254" s="3" t="s">
        <v>1205</v>
      </c>
      <c r="C254" s="3" t="s">
        <v>888</v>
      </c>
      <c r="D254" s="3" t="s">
        <v>835</v>
      </c>
      <c r="E254" s="3" t="s">
        <v>836</v>
      </c>
      <c r="F254" s="3" t="s">
        <v>21</v>
      </c>
      <c r="G254" s="3" t="s">
        <v>22</v>
      </c>
      <c r="H254" s="3" t="s">
        <v>23</v>
      </c>
      <c r="I254" s="3" t="s">
        <v>24</v>
      </c>
      <c r="J254" s="3" t="s">
        <v>25</v>
      </c>
      <c r="K254" s="1">
        <f t="shared" si="9"/>
        <v>5</v>
      </c>
      <c r="L254" s="1" t="str">
        <f>VLOOKUP(K254,List!$B$1:$D$10,2,0)</f>
        <v>Gastos</v>
      </c>
      <c r="M254" s="1" t="str">
        <f>VLOOKUP(K254,List!$B$1:$D$10,3,0)</f>
        <v>Resultado</v>
      </c>
      <c r="N254" s="1" t="str">
        <f t="shared" si="10"/>
        <v>52</v>
      </c>
      <c r="O254" s="1" t="str">
        <f>VLOOKUP(N254,List!$F$1:$G$36,2,0)</f>
        <v>Ventas</v>
      </c>
      <c r="P254" s="1" t="str">
        <f t="shared" si="11"/>
        <v>5205</v>
      </c>
      <c r="Q254" s="1" t="str">
        <f>VLOOKUP(P254,PUC!$A$7:$B$869,2,0)</f>
        <v xml:space="preserve">Gastos de personal</v>
      </c>
      <c r="R254" s="6" t="s">
        <v>1423</v>
      </c>
      <c r="S254" s="6">
        <f>VLOOKUP(N254,List!$F:$H,3,0)</f>
        <v>0</v>
      </c>
    </row>
    <row r="255">
      <c r="A255" s="1">
        <v>703</v>
      </c>
      <c r="B255" s="3" t="s">
        <v>1206</v>
      </c>
      <c r="C255" s="3" t="s">
        <v>891</v>
      </c>
      <c r="D255" s="3" t="s">
        <v>835</v>
      </c>
      <c r="E255" s="3" t="s">
        <v>836</v>
      </c>
      <c r="F255" s="3" t="s">
        <v>21</v>
      </c>
      <c r="G255" s="3" t="s">
        <v>22</v>
      </c>
      <c r="H255" s="3" t="s">
        <v>24</v>
      </c>
      <c r="I255" s="3" t="s">
        <v>24</v>
      </c>
      <c r="J255" s="3" t="s">
        <v>25</v>
      </c>
      <c r="K255" s="1">
        <f t="shared" si="9"/>
        <v>5</v>
      </c>
      <c r="L255" s="1" t="str">
        <f>VLOOKUP(K255,List!$B$1:$D$10,2,0)</f>
        <v>Gastos</v>
      </c>
      <c r="M255" s="1" t="str">
        <f>VLOOKUP(K255,List!$B$1:$D$10,3,0)</f>
        <v>Resultado</v>
      </c>
      <c r="N255" s="1" t="str">
        <f t="shared" si="10"/>
        <v>52</v>
      </c>
      <c r="O255" s="1" t="str">
        <f>VLOOKUP(N255,List!$F$1:$G$36,2,0)</f>
        <v>Ventas</v>
      </c>
      <c r="P255" s="1" t="str">
        <f t="shared" si="11"/>
        <v>5205</v>
      </c>
      <c r="Q255" s="1" t="str">
        <f>VLOOKUP(P255,PUC!$A$7:$B$869,2,0)</f>
        <v xml:space="preserve">Gastos de personal</v>
      </c>
      <c r="R255" s="6" t="s">
        <v>1423</v>
      </c>
      <c r="S255" s="6">
        <f>VLOOKUP(N255,List!$F:$H,3,0)</f>
        <v>0</v>
      </c>
    </row>
    <row r="256">
      <c r="A256" s="1">
        <v>705</v>
      </c>
      <c r="B256" s="3" t="s">
        <v>1208</v>
      </c>
      <c r="C256" s="3" t="s">
        <v>893</v>
      </c>
      <c r="D256" s="3" t="s">
        <v>835</v>
      </c>
      <c r="E256" s="3" t="s">
        <v>836</v>
      </c>
      <c r="F256" s="3" t="s">
        <v>21</v>
      </c>
      <c r="G256" s="3" t="s">
        <v>22</v>
      </c>
      <c r="H256" s="3" t="s">
        <v>23</v>
      </c>
      <c r="I256" s="3" t="s">
        <v>24</v>
      </c>
      <c r="J256" s="3" t="s">
        <v>25</v>
      </c>
      <c r="K256" s="1">
        <f t="shared" si="9"/>
        <v>5</v>
      </c>
      <c r="L256" s="1" t="str">
        <f>VLOOKUP(K256,List!$B$1:$D$10,2,0)</f>
        <v>Gastos</v>
      </c>
      <c r="M256" s="1" t="str">
        <f>VLOOKUP(K256,List!$B$1:$D$10,3,0)</f>
        <v>Resultado</v>
      </c>
      <c r="N256" s="1" t="str">
        <f t="shared" si="10"/>
        <v>52</v>
      </c>
      <c r="O256" s="1" t="str">
        <f>VLOOKUP(N256,List!$F$1:$G$36,2,0)</f>
        <v>Ventas</v>
      </c>
      <c r="P256" s="1" t="str">
        <f t="shared" si="11"/>
        <v>5205</v>
      </c>
      <c r="Q256" s="1" t="str">
        <f>VLOOKUP(P256,PUC!$A$7:$B$869,2,0)</f>
        <v xml:space="preserve">Gastos de personal</v>
      </c>
      <c r="R256" s="6" t="s">
        <v>1423</v>
      </c>
      <c r="S256" s="6">
        <f>VLOOKUP(N256,List!$F:$H,3,0)</f>
        <v>0</v>
      </c>
    </row>
    <row r="257">
      <c r="A257" s="1">
        <v>706</v>
      </c>
      <c r="B257" s="3" t="s">
        <v>1209</v>
      </c>
      <c r="C257" s="3" t="s">
        <v>896</v>
      </c>
      <c r="D257" s="3" t="s">
        <v>835</v>
      </c>
      <c r="E257" s="3" t="s">
        <v>836</v>
      </c>
      <c r="F257" s="3" t="s">
        <v>21</v>
      </c>
      <c r="G257" s="3" t="s">
        <v>22</v>
      </c>
      <c r="H257" s="3" t="s">
        <v>24</v>
      </c>
      <c r="I257" s="3" t="s">
        <v>24</v>
      </c>
      <c r="J257" s="3" t="s">
        <v>25</v>
      </c>
      <c r="K257" s="1">
        <f t="shared" si="9"/>
        <v>5</v>
      </c>
      <c r="L257" s="1" t="str">
        <f>VLOOKUP(K257,List!$B$1:$D$10,2,0)</f>
        <v>Gastos</v>
      </c>
      <c r="M257" s="1" t="str">
        <f>VLOOKUP(K257,List!$B$1:$D$10,3,0)</f>
        <v>Resultado</v>
      </c>
      <c r="N257" s="1" t="str">
        <f t="shared" si="10"/>
        <v>52</v>
      </c>
      <c r="O257" s="1" t="str">
        <f>VLOOKUP(N257,List!$F$1:$G$36,2,0)</f>
        <v>Ventas</v>
      </c>
      <c r="P257" s="1" t="str">
        <f t="shared" si="11"/>
        <v>5205</v>
      </c>
      <c r="Q257" s="1" t="str">
        <f>VLOOKUP(P257,PUC!$A$7:$B$869,2,0)</f>
        <v xml:space="preserve">Gastos de personal</v>
      </c>
      <c r="R257" s="6" t="s">
        <v>1423</v>
      </c>
      <c r="S257" s="6">
        <f>VLOOKUP(N257,List!$F:$H,3,0)</f>
        <v>0</v>
      </c>
    </row>
    <row r="258">
      <c r="A258" s="1">
        <v>708</v>
      </c>
      <c r="B258" s="3" t="s">
        <v>1211</v>
      </c>
      <c r="C258" s="3" t="s">
        <v>898</v>
      </c>
      <c r="D258" s="3" t="s">
        <v>835</v>
      </c>
      <c r="E258" s="3" t="s">
        <v>836</v>
      </c>
      <c r="F258" s="3" t="s">
        <v>21</v>
      </c>
      <c r="G258" s="3" t="s">
        <v>22</v>
      </c>
      <c r="H258" s="3" t="s">
        <v>23</v>
      </c>
      <c r="I258" s="3" t="s">
        <v>24</v>
      </c>
      <c r="J258" s="3" t="s">
        <v>25</v>
      </c>
      <c r="K258" s="1">
        <f t="shared" ref="K258:K321" si="12">VALUE(LEFT(B258))</f>
        <v>5</v>
      </c>
      <c r="L258" s="1" t="str">
        <f>VLOOKUP(K258,List!$B$1:$D$10,2,0)</f>
        <v>Gastos</v>
      </c>
      <c r="M258" s="1" t="str">
        <f>VLOOKUP(K258,List!$B$1:$D$10,3,0)</f>
        <v>Resultado</v>
      </c>
      <c r="N258" s="1" t="str">
        <f t="shared" ref="N258:N321" si="13">LEFT(B258,2)</f>
        <v>52</v>
      </c>
      <c r="O258" s="1" t="str">
        <f>VLOOKUP(N258,List!$F$1:$G$36,2,0)</f>
        <v>Ventas</v>
      </c>
      <c r="P258" s="1" t="str">
        <f t="shared" ref="P258:P321" si="14">LEFT(B258,4)</f>
        <v>5205</v>
      </c>
      <c r="Q258" s="1" t="str">
        <f>VLOOKUP(P258,PUC!$A$7:$B$869,2,0)</f>
        <v xml:space="preserve">Gastos de personal</v>
      </c>
      <c r="R258" s="6" t="s">
        <v>1423</v>
      </c>
      <c r="S258" s="6">
        <f>VLOOKUP(N258,List!$F:$H,3,0)</f>
        <v>0</v>
      </c>
    </row>
    <row r="259">
      <c r="A259" s="1">
        <v>709</v>
      </c>
      <c r="B259" s="3" t="s">
        <v>1212</v>
      </c>
      <c r="C259" s="3" t="s">
        <v>901</v>
      </c>
      <c r="D259" s="3" t="s">
        <v>835</v>
      </c>
      <c r="E259" s="3" t="s">
        <v>836</v>
      </c>
      <c r="F259" s="3" t="s">
        <v>21</v>
      </c>
      <c r="G259" s="3" t="s">
        <v>22</v>
      </c>
      <c r="H259" s="3" t="s">
        <v>24</v>
      </c>
      <c r="I259" s="3" t="s">
        <v>24</v>
      </c>
      <c r="J259" s="3" t="s">
        <v>25</v>
      </c>
      <c r="K259" s="1">
        <f t="shared" si="12"/>
        <v>5</v>
      </c>
      <c r="L259" s="1" t="str">
        <f>VLOOKUP(K259,List!$B$1:$D$10,2,0)</f>
        <v>Gastos</v>
      </c>
      <c r="M259" s="1" t="str">
        <f>VLOOKUP(K259,List!$B$1:$D$10,3,0)</f>
        <v>Resultado</v>
      </c>
      <c r="N259" s="1" t="str">
        <f t="shared" si="13"/>
        <v>52</v>
      </c>
      <c r="O259" s="1" t="str">
        <f>VLOOKUP(N259,List!$F$1:$G$36,2,0)</f>
        <v>Ventas</v>
      </c>
      <c r="P259" s="1" t="str">
        <f t="shared" si="14"/>
        <v>5205</v>
      </c>
      <c r="Q259" s="1" t="str">
        <f>VLOOKUP(P259,PUC!$A$7:$B$869,2,0)</f>
        <v xml:space="preserve">Gastos de personal</v>
      </c>
      <c r="R259" s="6" t="s">
        <v>1423</v>
      </c>
      <c r="S259" s="6">
        <f>VLOOKUP(N259,List!$F:$H,3,0)</f>
        <v>0</v>
      </c>
    </row>
    <row r="260">
      <c r="A260" s="1">
        <v>711</v>
      </c>
      <c r="B260" s="3" t="s">
        <v>1214</v>
      </c>
      <c r="C260" s="3" t="s">
        <v>903</v>
      </c>
      <c r="D260" s="3" t="s">
        <v>835</v>
      </c>
      <c r="E260" s="3" t="s">
        <v>836</v>
      </c>
      <c r="F260" s="3" t="s">
        <v>21</v>
      </c>
      <c r="G260" s="3" t="s">
        <v>22</v>
      </c>
      <c r="H260" s="3" t="s">
        <v>23</v>
      </c>
      <c r="I260" s="3" t="s">
        <v>24</v>
      </c>
      <c r="J260" s="3" t="s">
        <v>25</v>
      </c>
      <c r="K260" s="1">
        <f t="shared" si="12"/>
        <v>5</v>
      </c>
      <c r="L260" s="1" t="str">
        <f>VLOOKUP(K260,List!$B$1:$D$10,2,0)</f>
        <v>Gastos</v>
      </c>
      <c r="M260" s="1" t="str">
        <f>VLOOKUP(K260,List!$B$1:$D$10,3,0)</f>
        <v>Resultado</v>
      </c>
      <c r="N260" s="1" t="str">
        <f t="shared" si="13"/>
        <v>52</v>
      </c>
      <c r="O260" s="1" t="str">
        <f>VLOOKUP(N260,List!$F$1:$G$36,2,0)</f>
        <v>Ventas</v>
      </c>
      <c r="P260" s="1" t="str">
        <f t="shared" si="14"/>
        <v>5205</v>
      </c>
      <c r="Q260" s="1" t="str">
        <f>VLOOKUP(P260,PUC!$A$7:$B$869,2,0)</f>
        <v xml:space="preserve">Gastos de personal</v>
      </c>
      <c r="R260" s="6" t="s">
        <v>1423</v>
      </c>
      <c r="S260" s="6">
        <f>VLOOKUP(N260,List!$F:$H,3,0)</f>
        <v>0</v>
      </c>
    </row>
    <row r="261">
      <c r="A261" s="1">
        <v>712</v>
      </c>
      <c r="B261" s="3" t="s">
        <v>1215</v>
      </c>
      <c r="C261" s="3" t="s">
        <v>906</v>
      </c>
      <c r="D261" s="3" t="s">
        <v>835</v>
      </c>
      <c r="E261" s="3" t="s">
        <v>836</v>
      </c>
      <c r="F261" s="3" t="s">
        <v>21</v>
      </c>
      <c r="G261" s="3" t="s">
        <v>22</v>
      </c>
      <c r="H261" s="3" t="s">
        <v>24</v>
      </c>
      <c r="I261" s="3" t="s">
        <v>24</v>
      </c>
      <c r="J261" s="3" t="s">
        <v>25</v>
      </c>
      <c r="K261" s="1">
        <f t="shared" si="12"/>
        <v>5</v>
      </c>
      <c r="L261" s="1" t="str">
        <f>VLOOKUP(K261,List!$B$1:$D$10,2,0)</f>
        <v>Gastos</v>
      </c>
      <c r="M261" s="1" t="str">
        <f>VLOOKUP(K261,List!$B$1:$D$10,3,0)</f>
        <v>Resultado</v>
      </c>
      <c r="N261" s="1" t="str">
        <f t="shared" si="13"/>
        <v>52</v>
      </c>
      <c r="O261" s="1" t="str">
        <f>VLOOKUP(N261,List!$F$1:$G$36,2,0)</f>
        <v>Ventas</v>
      </c>
      <c r="P261" s="1" t="str">
        <f t="shared" si="14"/>
        <v>5205</v>
      </c>
      <c r="Q261" s="1" t="str">
        <f>VLOOKUP(P261,PUC!$A$7:$B$869,2,0)</f>
        <v xml:space="preserve">Gastos de personal</v>
      </c>
      <c r="R261" s="6" t="s">
        <v>1423</v>
      </c>
      <c r="S261" s="6">
        <f>VLOOKUP(N261,List!$F:$H,3,0)</f>
        <v>0</v>
      </c>
    </row>
    <row r="262">
      <c r="A262" s="1">
        <v>714</v>
      </c>
      <c r="B262" s="3" t="s">
        <v>1217</v>
      </c>
      <c r="C262" s="3" t="s">
        <v>908</v>
      </c>
      <c r="D262" s="3" t="s">
        <v>835</v>
      </c>
      <c r="E262" s="3" t="s">
        <v>836</v>
      </c>
      <c r="F262" s="3" t="s">
        <v>21</v>
      </c>
      <c r="G262" s="3" t="s">
        <v>22</v>
      </c>
      <c r="H262" s="3" t="s">
        <v>23</v>
      </c>
      <c r="I262" s="3" t="s">
        <v>24</v>
      </c>
      <c r="J262" s="3" t="s">
        <v>25</v>
      </c>
      <c r="K262" s="1">
        <f t="shared" si="12"/>
        <v>5</v>
      </c>
      <c r="L262" s="1" t="str">
        <f>VLOOKUP(K262,List!$B$1:$D$10,2,0)</f>
        <v>Gastos</v>
      </c>
      <c r="M262" s="1" t="str">
        <f>VLOOKUP(K262,List!$B$1:$D$10,3,0)</f>
        <v>Resultado</v>
      </c>
      <c r="N262" s="1" t="str">
        <f t="shared" si="13"/>
        <v>52</v>
      </c>
      <c r="O262" s="1" t="str">
        <f>VLOOKUP(N262,List!$F$1:$G$36,2,0)</f>
        <v>Ventas</v>
      </c>
      <c r="P262" s="1" t="str">
        <f t="shared" si="14"/>
        <v>5205</v>
      </c>
      <c r="Q262" s="1" t="str">
        <f>VLOOKUP(P262,PUC!$A$7:$B$869,2,0)</f>
        <v xml:space="preserve">Gastos de personal</v>
      </c>
      <c r="R262" s="6" t="s">
        <v>1423</v>
      </c>
      <c r="S262" s="6">
        <f>VLOOKUP(N262,List!$F:$H,3,0)</f>
        <v>0</v>
      </c>
    </row>
    <row r="263">
      <c r="A263" s="1">
        <v>715</v>
      </c>
      <c r="B263" s="3" t="s">
        <v>1218</v>
      </c>
      <c r="C263" s="3" t="s">
        <v>911</v>
      </c>
      <c r="D263" s="3" t="s">
        <v>835</v>
      </c>
      <c r="E263" s="3" t="s">
        <v>836</v>
      </c>
      <c r="F263" s="3" t="s">
        <v>21</v>
      </c>
      <c r="G263" s="3" t="s">
        <v>22</v>
      </c>
      <c r="H263" s="3" t="s">
        <v>24</v>
      </c>
      <c r="I263" s="3" t="s">
        <v>24</v>
      </c>
      <c r="J263" s="3" t="s">
        <v>25</v>
      </c>
      <c r="K263" s="1">
        <f t="shared" si="12"/>
        <v>5</v>
      </c>
      <c r="L263" s="1" t="str">
        <f>VLOOKUP(K263,List!$B$1:$D$10,2,0)</f>
        <v>Gastos</v>
      </c>
      <c r="M263" s="1" t="str">
        <f>VLOOKUP(K263,List!$B$1:$D$10,3,0)</f>
        <v>Resultado</v>
      </c>
      <c r="N263" s="1" t="str">
        <f t="shared" si="13"/>
        <v>52</v>
      </c>
      <c r="O263" s="1" t="str">
        <f>VLOOKUP(N263,List!$F$1:$G$36,2,0)</f>
        <v>Ventas</v>
      </c>
      <c r="P263" s="1" t="str">
        <f t="shared" si="14"/>
        <v>5205</v>
      </c>
      <c r="Q263" s="1" t="str">
        <f>VLOOKUP(P263,PUC!$A$7:$B$869,2,0)</f>
        <v xml:space="preserve">Gastos de personal</v>
      </c>
      <c r="R263" s="6" t="s">
        <v>1423</v>
      </c>
      <c r="S263" s="6">
        <f>VLOOKUP(N263,List!$F:$H,3,0)</f>
        <v>0</v>
      </c>
    </row>
    <row r="264">
      <c r="A264" s="1">
        <v>717</v>
      </c>
      <c r="B264" s="3" t="s">
        <v>1220</v>
      </c>
      <c r="C264" s="3" t="s">
        <v>913</v>
      </c>
      <c r="D264" s="3" t="s">
        <v>835</v>
      </c>
      <c r="E264" s="3" t="s">
        <v>836</v>
      </c>
      <c r="F264" s="3" t="s">
        <v>21</v>
      </c>
      <c r="G264" s="3" t="s">
        <v>22</v>
      </c>
      <c r="H264" s="3" t="s">
        <v>23</v>
      </c>
      <c r="I264" s="3" t="s">
        <v>24</v>
      </c>
      <c r="J264" s="3" t="s">
        <v>25</v>
      </c>
      <c r="K264" s="1">
        <f t="shared" si="12"/>
        <v>5</v>
      </c>
      <c r="L264" s="1" t="str">
        <f>VLOOKUP(K264,List!$B$1:$D$10,2,0)</f>
        <v>Gastos</v>
      </c>
      <c r="M264" s="1" t="str">
        <f>VLOOKUP(K264,List!$B$1:$D$10,3,0)</f>
        <v>Resultado</v>
      </c>
      <c r="N264" s="1" t="str">
        <f t="shared" si="13"/>
        <v>52</v>
      </c>
      <c r="O264" s="1" t="str">
        <f>VLOOKUP(N264,List!$F$1:$G$36,2,0)</f>
        <v>Ventas</v>
      </c>
      <c r="P264" s="1" t="str">
        <f t="shared" si="14"/>
        <v>5205</v>
      </c>
      <c r="Q264" s="1" t="str">
        <f>VLOOKUP(P264,PUC!$A$7:$B$869,2,0)</f>
        <v xml:space="preserve">Gastos de personal</v>
      </c>
      <c r="R264" s="6" t="s">
        <v>1423</v>
      </c>
      <c r="S264" s="6">
        <f>VLOOKUP(N264,List!$F:$H,3,0)</f>
        <v>0</v>
      </c>
    </row>
    <row r="265">
      <c r="A265" s="1">
        <v>718</v>
      </c>
      <c r="B265" s="3" t="s">
        <v>1221</v>
      </c>
      <c r="C265" s="3" t="s">
        <v>916</v>
      </c>
      <c r="D265" s="3" t="s">
        <v>835</v>
      </c>
      <c r="E265" s="3" t="s">
        <v>836</v>
      </c>
      <c r="F265" s="3" t="s">
        <v>21</v>
      </c>
      <c r="G265" s="3" t="s">
        <v>22</v>
      </c>
      <c r="H265" s="3" t="s">
        <v>24</v>
      </c>
      <c r="I265" s="3" t="s">
        <v>24</v>
      </c>
      <c r="J265" s="3" t="s">
        <v>25</v>
      </c>
      <c r="K265" s="1">
        <f t="shared" si="12"/>
        <v>5</v>
      </c>
      <c r="L265" s="1" t="str">
        <f>VLOOKUP(K265,List!$B$1:$D$10,2,0)</f>
        <v>Gastos</v>
      </c>
      <c r="M265" s="1" t="str">
        <f>VLOOKUP(K265,List!$B$1:$D$10,3,0)</f>
        <v>Resultado</v>
      </c>
      <c r="N265" s="1" t="str">
        <f t="shared" si="13"/>
        <v>52</v>
      </c>
      <c r="O265" s="1" t="str">
        <f>VLOOKUP(N265,List!$F$1:$G$36,2,0)</f>
        <v>Ventas</v>
      </c>
      <c r="P265" s="1" t="str">
        <f t="shared" si="14"/>
        <v>5205</v>
      </c>
      <c r="Q265" s="1" t="str">
        <f>VLOOKUP(P265,PUC!$A$7:$B$869,2,0)</f>
        <v xml:space="preserve">Gastos de personal</v>
      </c>
      <c r="R265" s="6" t="s">
        <v>1423</v>
      </c>
      <c r="S265" s="6">
        <f>VLOOKUP(N265,List!$F:$H,3,0)</f>
        <v>0</v>
      </c>
    </row>
    <row r="266">
      <c r="A266" s="1">
        <v>720</v>
      </c>
      <c r="B266" s="3" t="s">
        <v>1223</v>
      </c>
      <c r="C266" s="3" t="s">
        <v>525</v>
      </c>
      <c r="D266" s="3" t="s">
        <v>835</v>
      </c>
      <c r="E266" s="3" t="s">
        <v>836</v>
      </c>
      <c r="F266" s="3" t="s">
        <v>21</v>
      </c>
      <c r="G266" s="3" t="s">
        <v>22</v>
      </c>
      <c r="H266" s="3" t="s">
        <v>23</v>
      </c>
      <c r="I266" s="3" t="s">
        <v>24</v>
      </c>
      <c r="J266" s="3" t="s">
        <v>25</v>
      </c>
      <c r="K266" s="1">
        <f t="shared" si="12"/>
        <v>5</v>
      </c>
      <c r="L266" s="1" t="str">
        <f>VLOOKUP(K266,List!$B$1:$D$10,2,0)</f>
        <v>Gastos</v>
      </c>
      <c r="M266" s="1" t="str">
        <f>VLOOKUP(K266,List!$B$1:$D$10,3,0)</f>
        <v>Resultado</v>
      </c>
      <c r="N266" s="1" t="str">
        <f t="shared" si="13"/>
        <v>52</v>
      </c>
      <c r="O266" s="1" t="str">
        <f>VLOOKUP(N266,List!$F$1:$G$36,2,0)</f>
        <v>Ventas</v>
      </c>
      <c r="P266" s="1" t="str">
        <f t="shared" si="14"/>
        <v>5205</v>
      </c>
      <c r="Q266" s="1" t="str">
        <f>VLOOKUP(P266,PUC!$A$7:$B$869,2,0)</f>
        <v xml:space="preserve">Gastos de personal</v>
      </c>
      <c r="R266" s="6" t="s">
        <v>1423</v>
      </c>
      <c r="S266" s="6">
        <f>VLOOKUP(N266,List!$F:$H,3,0)</f>
        <v>0</v>
      </c>
    </row>
    <row r="267">
      <c r="A267" s="1">
        <v>721</v>
      </c>
      <c r="B267" s="3" t="s">
        <v>1224</v>
      </c>
      <c r="C267" s="3" t="s">
        <v>920</v>
      </c>
      <c r="D267" s="3" t="s">
        <v>835</v>
      </c>
      <c r="E267" s="3" t="s">
        <v>836</v>
      </c>
      <c r="F267" s="3" t="s">
        <v>21</v>
      </c>
      <c r="G267" s="3" t="s">
        <v>22</v>
      </c>
      <c r="H267" s="3" t="s">
        <v>24</v>
      </c>
      <c r="I267" s="3" t="s">
        <v>24</v>
      </c>
      <c r="J267" s="3" t="s">
        <v>25</v>
      </c>
      <c r="K267" s="1">
        <f t="shared" si="12"/>
        <v>5</v>
      </c>
      <c r="L267" s="1" t="str">
        <f>VLOOKUP(K267,List!$B$1:$D$10,2,0)</f>
        <v>Gastos</v>
      </c>
      <c r="M267" s="1" t="str">
        <f>VLOOKUP(K267,List!$B$1:$D$10,3,0)</f>
        <v>Resultado</v>
      </c>
      <c r="N267" s="1" t="str">
        <f t="shared" si="13"/>
        <v>52</v>
      </c>
      <c r="O267" s="1" t="str">
        <f>VLOOKUP(N267,List!$F$1:$G$36,2,0)</f>
        <v>Ventas</v>
      </c>
      <c r="P267" s="1" t="str">
        <f t="shared" si="14"/>
        <v>5205</v>
      </c>
      <c r="Q267" s="1" t="str">
        <f>VLOOKUP(P267,PUC!$A$7:$B$869,2,0)</f>
        <v xml:space="preserve">Gastos de personal</v>
      </c>
      <c r="R267" s="6" t="s">
        <v>1423</v>
      </c>
      <c r="S267" s="6">
        <f>VLOOKUP(N267,List!$F:$H,3,0)</f>
        <v>0</v>
      </c>
    </row>
    <row r="268">
      <c r="A268" s="1">
        <v>723</v>
      </c>
      <c r="B268" s="3" t="s">
        <v>1226</v>
      </c>
      <c r="C268" s="3" t="s">
        <v>922</v>
      </c>
      <c r="D268" s="3" t="s">
        <v>835</v>
      </c>
      <c r="E268" s="3" t="s">
        <v>836</v>
      </c>
      <c r="F268" s="3" t="s">
        <v>21</v>
      </c>
      <c r="G268" s="3" t="s">
        <v>22</v>
      </c>
      <c r="H268" s="3" t="s">
        <v>23</v>
      </c>
      <c r="I268" s="3" t="s">
        <v>24</v>
      </c>
      <c r="J268" s="3" t="s">
        <v>25</v>
      </c>
      <c r="K268" s="1">
        <f t="shared" si="12"/>
        <v>5</v>
      </c>
      <c r="L268" s="1" t="str">
        <f>VLOOKUP(K268,List!$B$1:$D$10,2,0)</f>
        <v>Gastos</v>
      </c>
      <c r="M268" s="1" t="str">
        <f>VLOOKUP(K268,List!$B$1:$D$10,3,0)</f>
        <v>Resultado</v>
      </c>
      <c r="N268" s="1" t="str">
        <f t="shared" si="13"/>
        <v>52</v>
      </c>
      <c r="O268" s="1" t="str">
        <f>VLOOKUP(N268,List!$F$1:$G$36,2,0)</f>
        <v>Ventas</v>
      </c>
      <c r="P268" s="1" t="str">
        <f t="shared" si="14"/>
        <v>5205</v>
      </c>
      <c r="Q268" s="1" t="str">
        <f>VLOOKUP(P268,PUC!$A$7:$B$869,2,0)</f>
        <v xml:space="preserve">Gastos de personal</v>
      </c>
      <c r="R268" s="6" t="s">
        <v>1423</v>
      </c>
      <c r="S268" s="6">
        <f>VLOOKUP(N268,List!$F:$H,3,0)</f>
        <v>0</v>
      </c>
    </row>
    <row r="269">
      <c r="A269" s="1">
        <v>724</v>
      </c>
      <c r="B269" s="3" t="s">
        <v>1227</v>
      </c>
      <c r="C269" s="3" t="s">
        <v>925</v>
      </c>
      <c r="D269" s="3" t="s">
        <v>835</v>
      </c>
      <c r="E269" s="3" t="s">
        <v>836</v>
      </c>
      <c r="F269" s="3" t="s">
        <v>21</v>
      </c>
      <c r="G269" s="3" t="s">
        <v>22</v>
      </c>
      <c r="H269" s="3" t="s">
        <v>24</v>
      </c>
      <c r="I269" s="3" t="s">
        <v>24</v>
      </c>
      <c r="J269" s="3" t="s">
        <v>25</v>
      </c>
      <c r="K269" s="1">
        <f t="shared" si="12"/>
        <v>5</v>
      </c>
      <c r="L269" s="1" t="str">
        <f>VLOOKUP(K269,List!$B$1:$D$10,2,0)</f>
        <v>Gastos</v>
      </c>
      <c r="M269" s="1" t="str">
        <f>VLOOKUP(K269,List!$B$1:$D$10,3,0)</f>
        <v>Resultado</v>
      </c>
      <c r="N269" s="1" t="str">
        <f t="shared" si="13"/>
        <v>52</v>
      </c>
      <c r="O269" s="1" t="str">
        <f>VLOOKUP(N269,List!$F$1:$G$36,2,0)</f>
        <v>Ventas</v>
      </c>
      <c r="P269" s="1" t="str">
        <f t="shared" si="14"/>
        <v>5205</v>
      </c>
      <c r="Q269" s="1" t="str">
        <f>VLOOKUP(P269,PUC!$A$7:$B$869,2,0)</f>
        <v xml:space="preserve">Gastos de personal</v>
      </c>
      <c r="R269" s="6" t="s">
        <v>1423</v>
      </c>
      <c r="S269" s="6">
        <f>VLOOKUP(N269,List!$F:$H,3,0)</f>
        <v>0</v>
      </c>
    </row>
    <row r="270">
      <c r="A270" s="1">
        <v>726</v>
      </c>
      <c r="B270" s="3" t="s">
        <v>1229</v>
      </c>
      <c r="C270" s="3" t="s">
        <v>927</v>
      </c>
      <c r="D270" s="3" t="s">
        <v>835</v>
      </c>
      <c r="E270" s="3" t="s">
        <v>836</v>
      </c>
      <c r="F270" s="3" t="s">
        <v>21</v>
      </c>
      <c r="G270" s="3" t="s">
        <v>22</v>
      </c>
      <c r="H270" s="3" t="s">
        <v>23</v>
      </c>
      <c r="I270" s="3" t="s">
        <v>24</v>
      </c>
      <c r="J270" s="3" t="s">
        <v>25</v>
      </c>
      <c r="K270" s="1">
        <f t="shared" si="12"/>
        <v>5</v>
      </c>
      <c r="L270" s="1" t="str">
        <f>VLOOKUP(K270,List!$B$1:$D$10,2,0)</f>
        <v>Gastos</v>
      </c>
      <c r="M270" s="1" t="str">
        <f>VLOOKUP(K270,List!$B$1:$D$10,3,0)</f>
        <v>Resultado</v>
      </c>
      <c r="N270" s="1" t="str">
        <f t="shared" si="13"/>
        <v>52</v>
      </c>
      <c r="O270" s="1" t="str">
        <f>VLOOKUP(N270,List!$F$1:$G$36,2,0)</f>
        <v>Ventas</v>
      </c>
      <c r="P270" s="1" t="str">
        <f t="shared" si="14"/>
        <v>5205</v>
      </c>
      <c r="Q270" s="1" t="str">
        <f>VLOOKUP(P270,PUC!$A$7:$B$869,2,0)</f>
        <v xml:space="preserve">Gastos de personal</v>
      </c>
      <c r="R270" s="6" t="s">
        <v>1423</v>
      </c>
      <c r="S270" s="6">
        <f>VLOOKUP(N270,List!$F:$H,3,0)</f>
        <v>0</v>
      </c>
    </row>
    <row r="271">
      <c r="A271" s="1">
        <v>727</v>
      </c>
      <c r="B271" s="3" t="s">
        <v>1230</v>
      </c>
      <c r="C271" s="3" t="s">
        <v>930</v>
      </c>
      <c r="D271" s="3" t="s">
        <v>835</v>
      </c>
      <c r="E271" s="3" t="s">
        <v>836</v>
      </c>
      <c r="F271" s="3" t="s">
        <v>21</v>
      </c>
      <c r="G271" s="3" t="s">
        <v>22</v>
      </c>
      <c r="H271" s="3" t="s">
        <v>24</v>
      </c>
      <c r="I271" s="3" t="s">
        <v>24</v>
      </c>
      <c r="J271" s="3" t="s">
        <v>25</v>
      </c>
      <c r="K271" s="1">
        <f t="shared" si="12"/>
        <v>5</v>
      </c>
      <c r="L271" s="1" t="str">
        <f>VLOOKUP(K271,List!$B$1:$D$10,2,0)</f>
        <v>Gastos</v>
      </c>
      <c r="M271" s="1" t="str">
        <f>VLOOKUP(K271,List!$B$1:$D$10,3,0)</f>
        <v>Resultado</v>
      </c>
      <c r="N271" s="1" t="str">
        <f t="shared" si="13"/>
        <v>52</v>
      </c>
      <c r="O271" s="1" t="str">
        <f>VLOOKUP(N271,List!$F$1:$G$36,2,0)</f>
        <v>Ventas</v>
      </c>
      <c r="P271" s="1" t="str">
        <f t="shared" si="14"/>
        <v>5205</v>
      </c>
      <c r="Q271" s="1" t="str">
        <f>VLOOKUP(P271,PUC!$A$7:$B$869,2,0)</f>
        <v xml:space="preserve">Gastos de personal</v>
      </c>
      <c r="R271" s="6" t="s">
        <v>1423</v>
      </c>
      <c r="S271" s="6">
        <f>VLOOKUP(N271,List!$F:$H,3,0)</f>
        <v>0</v>
      </c>
    </row>
    <row r="272">
      <c r="A272" s="1">
        <v>729</v>
      </c>
      <c r="B272" s="3" t="s">
        <v>1232</v>
      </c>
      <c r="C272" s="3" t="s">
        <v>932</v>
      </c>
      <c r="D272" s="3" t="s">
        <v>835</v>
      </c>
      <c r="E272" s="3" t="s">
        <v>836</v>
      </c>
      <c r="F272" s="3" t="s">
        <v>21</v>
      </c>
      <c r="G272" s="3" t="s">
        <v>22</v>
      </c>
      <c r="H272" s="3" t="s">
        <v>23</v>
      </c>
      <c r="I272" s="3" t="s">
        <v>24</v>
      </c>
      <c r="J272" s="3" t="s">
        <v>25</v>
      </c>
      <c r="K272" s="1">
        <f t="shared" si="12"/>
        <v>5</v>
      </c>
      <c r="L272" s="1" t="str">
        <f>VLOOKUP(K272,List!$B$1:$D$10,2,0)</f>
        <v>Gastos</v>
      </c>
      <c r="M272" s="1" t="str">
        <f>VLOOKUP(K272,List!$B$1:$D$10,3,0)</f>
        <v>Resultado</v>
      </c>
      <c r="N272" s="1" t="str">
        <f t="shared" si="13"/>
        <v>52</v>
      </c>
      <c r="O272" s="1" t="str">
        <f>VLOOKUP(N272,List!$F$1:$G$36,2,0)</f>
        <v>Ventas</v>
      </c>
      <c r="P272" s="1" t="str">
        <f t="shared" si="14"/>
        <v>5205</v>
      </c>
      <c r="Q272" s="1" t="str">
        <f>VLOOKUP(P272,PUC!$A$7:$B$869,2,0)</f>
        <v xml:space="preserve">Gastos de personal</v>
      </c>
      <c r="R272" s="6" t="s">
        <v>1423</v>
      </c>
      <c r="S272" s="6">
        <f>VLOOKUP(N272,List!$F:$H,3,0)</f>
        <v>0</v>
      </c>
    </row>
    <row r="273">
      <c r="A273" s="1">
        <v>730</v>
      </c>
      <c r="B273" s="3" t="s">
        <v>1233</v>
      </c>
      <c r="C273" s="3" t="s">
        <v>935</v>
      </c>
      <c r="D273" s="3" t="s">
        <v>835</v>
      </c>
      <c r="E273" s="3" t="s">
        <v>836</v>
      </c>
      <c r="F273" s="3" t="s">
        <v>21</v>
      </c>
      <c r="G273" s="3" t="s">
        <v>22</v>
      </c>
      <c r="H273" s="3" t="s">
        <v>24</v>
      </c>
      <c r="I273" s="3" t="s">
        <v>24</v>
      </c>
      <c r="J273" s="3" t="s">
        <v>25</v>
      </c>
      <c r="K273" s="1">
        <f t="shared" si="12"/>
        <v>5</v>
      </c>
      <c r="L273" s="1" t="str">
        <f>VLOOKUP(K273,List!$B$1:$D$10,2,0)</f>
        <v>Gastos</v>
      </c>
      <c r="M273" s="1" t="str">
        <f>VLOOKUP(K273,List!$B$1:$D$10,3,0)</f>
        <v>Resultado</v>
      </c>
      <c r="N273" s="1" t="str">
        <f t="shared" si="13"/>
        <v>52</v>
      </c>
      <c r="O273" s="1" t="str">
        <f>VLOOKUP(N273,List!$F$1:$G$36,2,0)</f>
        <v>Ventas</v>
      </c>
      <c r="P273" s="1" t="str">
        <f t="shared" si="14"/>
        <v>5205</v>
      </c>
      <c r="Q273" s="1" t="str">
        <f>VLOOKUP(P273,PUC!$A$7:$B$869,2,0)</f>
        <v xml:space="preserve">Gastos de personal</v>
      </c>
      <c r="R273" s="6" t="s">
        <v>1423</v>
      </c>
      <c r="S273" s="6">
        <f>VLOOKUP(N273,List!$F:$H,3,0)</f>
        <v>0</v>
      </c>
    </row>
    <row r="274">
      <c r="A274" s="1">
        <v>732</v>
      </c>
      <c r="B274" s="3" t="s">
        <v>1235</v>
      </c>
      <c r="C274" s="3" t="s">
        <v>937</v>
      </c>
      <c r="D274" s="3" t="s">
        <v>835</v>
      </c>
      <c r="E274" s="3" t="s">
        <v>836</v>
      </c>
      <c r="F274" s="3" t="s">
        <v>21</v>
      </c>
      <c r="G274" s="3" t="s">
        <v>22</v>
      </c>
      <c r="H274" s="3" t="s">
        <v>23</v>
      </c>
      <c r="I274" s="3" t="s">
        <v>24</v>
      </c>
      <c r="J274" s="3" t="s">
        <v>25</v>
      </c>
      <c r="K274" s="1">
        <f t="shared" si="12"/>
        <v>5</v>
      </c>
      <c r="L274" s="1" t="str">
        <f>VLOOKUP(K274,List!$B$1:$D$10,2,0)</f>
        <v>Gastos</v>
      </c>
      <c r="M274" s="1" t="str">
        <f>VLOOKUP(K274,List!$B$1:$D$10,3,0)</f>
        <v>Resultado</v>
      </c>
      <c r="N274" s="1" t="str">
        <f t="shared" si="13"/>
        <v>52</v>
      </c>
      <c r="O274" s="1" t="str">
        <f>VLOOKUP(N274,List!$F$1:$G$36,2,0)</f>
        <v>Ventas</v>
      </c>
      <c r="P274" s="1" t="str">
        <f t="shared" si="14"/>
        <v>5205</v>
      </c>
      <c r="Q274" s="1" t="str">
        <f>VLOOKUP(P274,PUC!$A$7:$B$869,2,0)</f>
        <v xml:space="preserve">Gastos de personal</v>
      </c>
      <c r="R274" s="6" t="s">
        <v>1423</v>
      </c>
      <c r="S274" s="6">
        <f>VLOOKUP(N274,List!$F:$H,3,0)</f>
        <v>0</v>
      </c>
    </row>
    <row r="275">
      <c r="A275" s="1">
        <v>733</v>
      </c>
      <c r="B275" s="3" t="s">
        <v>1236</v>
      </c>
      <c r="C275" s="3" t="s">
        <v>940</v>
      </c>
      <c r="D275" s="3" t="s">
        <v>835</v>
      </c>
      <c r="E275" s="3" t="s">
        <v>836</v>
      </c>
      <c r="F275" s="3" t="s">
        <v>21</v>
      </c>
      <c r="G275" s="3" t="s">
        <v>22</v>
      </c>
      <c r="H275" s="3" t="s">
        <v>24</v>
      </c>
      <c r="I275" s="3" t="s">
        <v>24</v>
      </c>
      <c r="J275" s="3" t="s">
        <v>25</v>
      </c>
      <c r="K275" s="1">
        <f t="shared" si="12"/>
        <v>5</v>
      </c>
      <c r="L275" s="1" t="str">
        <f>VLOOKUP(K275,List!$B$1:$D$10,2,0)</f>
        <v>Gastos</v>
      </c>
      <c r="M275" s="1" t="str">
        <f>VLOOKUP(K275,List!$B$1:$D$10,3,0)</f>
        <v>Resultado</v>
      </c>
      <c r="N275" s="1" t="str">
        <f t="shared" si="13"/>
        <v>52</v>
      </c>
      <c r="O275" s="1" t="str">
        <f>VLOOKUP(N275,List!$F$1:$G$36,2,0)</f>
        <v>Ventas</v>
      </c>
      <c r="P275" s="1" t="str">
        <f t="shared" si="14"/>
        <v>5205</v>
      </c>
      <c r="Q275" s="1" t="str">
        <f>VLOOKUP(P275,PUC!$A$7:$B$869,2,0)</f>
        <v xml:space="preserve">Gastos de personal</v>
      </c>
      <c r="R275" s="6" t="s">
        <v>1423</v>
      </c>
      <c r="S275" s="6">
        <f>VLOOKUP(N275,List!$F:$H,3,0)</f>
        <v>0</v>
      </c>
    </row>
    <row r="276">
      <c r="A276" s="1">
        <v>735</v>
      </c>
      <c r="B276" s="3" t="s">
        <v>1238</v>
      </c>
      <c r="C276" s="3" t="s">
        <v>942</v>
      </c>
      <c r="D276" s="3" t="s">
        <v>835</v>
      </c>
      <c r="E276" s="3" t="s">
        <v>836</v>
      </c>
      <c r="F276" s="3" t="s">
        <v>21</v>
      </c>
      <c r="G276" s="3" t="s">
        <v>22</v>
      </c>
      <c r="H276" s="3" t="s">
        <v>23</v>
      </c>
      <c r="I276" s="3" t="s">
        <v>24</v>
      </c>
      <c r="J276" s="3" t="s">
        <v>25</v>
      </c>
      <c r="K276" s="1">
        <f t="shared" si="12"/>
        <v>5</v>
      </c>
      <c r="L276" s="1" t="str">
        <f>VLOOKUP(K276,List!$B$1:$D$10,2,0)</f>
        <v>Gastos</v>
      </c>
      <c r="M276" s="1" t="str">
        <f>VLOOKUP(K276,List!$B$1:$D$10,3,0)</f>
        <v>Resultado</v>
      </c>
      <c r="N276" s="1" t="str">
        <f t="shared" si="13"/>
        <v>52</v>
      </c>
      <c r="O276" s="1" t="str">
        <f>VLOOKUP(N276,List!$F$1:$G$36,2,0)</f>
        <v>Ventas</v>
      </c>
      <c r="P276" s="1" t="str">
        <f t="shared" si="14"/>
        <v>5205</v>
      </c>
      <c r="Q276" s="1" t="str">
        <f>VLOOKUP(P276,PUC!$A$7:$B$869,2,0)</f>
        <v xml:space="preserve">Gastos de personal</v>
      </c>
      <c r="R276" s="6" t="s">
        <v>1423</v>
      </c>
      <c r="S276" s="6">
        <f>VLOOKUP(N276,List!$F:$H,3,0)</f>
        <v>0</v>
      </c>
    </row>
    <row r="277">
      <c r="A277" s="1">
        <v>736</v>
      </c>
      <c r="B277" s="3" t="s">
        <v>1239</v>
      </c>
      <c r="C277" s="3" t="s">
        <v>947</v>
      </c>
      <c r="D277" s="3" t="s">
        <v>835</v>
      </c>
      <c r="E277" s="3" t="s">
        <v>836</v>
      </c>
      <c r="F277" s="3" t="s">
        <v>21</v>
      </c>
      <c r="G277" s="3" t="s">
        <v>22</v>
      </c>
      <c r="H277" s="3" t="s">
        <v>24</v>
      </c>
      <c r="I277" s="3" t="s">
        <v>24</v>
      </c>
      <c r="J277" s="3" t="s">
        <v>25</v>
      </c>
      <c r="K277" s="1">
        <f t="shared" si="12"/>
        <v>5</v>
      </c>
      <c r="L277" s="1" t="str">
        <f>VLOOKUP(K277,List!$B$1:$D$10,2,0)</f>
        <v>Gastos</v>
      </c>
      <c r="M277" s="1" t="str">
        <f>VLOOKUP(K277,List!$B$1:$D$10,3,0)</f>
        <v>Resultado</v>
      </c>
      <c r="N277" s="1" t="str">
        <f t="shared" si="13"/>
        <v>52</v>
      </c>
      <c r="O277" s="1" t="str">
        <f>VLOOKUP(N277,List!$F$1:$G$36,2,0)</f>
        <v>Ventas</v>
      </c>
      <c r="P277" s="1" t="str">
        <f t="shared" si="14"/>
        <v>5205</v>
      </c>
      <c r="Q277" s="1" t="str">
        <f>VLOOKUP(P277,PUC!$A$7:$B$869,2,0)</f>
        <v xml:space="preserve">Gastos de personal</v>
      </c>
      <c r="R277" s="6" t="s">
        <v>1423</v>
      </c>
      <c r="S277" s="6">
        <f>VLOOKUP(N277,List!$F:$H,3,0)</f>
        <v>0</v>
      </c>
    </row>
    <row r="278">
      <c r="A278" s="1">
        <v>738</v>
      </c>
      <c r="B278" s="3" t="s">
        <v>1241</v>
      </c>
      <c r="C278" s="3" t="s">
        <v>950</v>
      </c>
      <c r="D278" s="3" t="s">
        <v>835</v>
      </c>
      <c r="E278" s="3" t="s">
        <v>836</v>
      </c>
      <c r="F278" s="3" t="s">
        <v>21</v>
      </c>
      <c r="G278" s="3" t="s">
        <v>22</v>
      </c>
      <c r="H278" s="3" t="s">
        <v>23</v>
      </c>
      <c r="I278" s="3" t="s">
        <v>24</v>
      </c>
      <c r="J278" s="3" t="s">
        <v>25</v>
      </c>
      <c r="K278" s="1">
        <f t="shared" si="12"/>
        <v>5</v>
      </c>
      <c r="L278" s="1" t="str">
        <f>VLOOKUP(K278,List!$B$1:$D$10,2,0)</f>
        <v>Gastos</v>
      </c>
      <c r="M278" s="1" t="str">
        <f>VLOOKUP(K278,List!$B$1:$D$10,3,0)</f>
        <v>Resultado</v>
      </c>
      <c r="N278" s="1" t="str">
        <f t="shared" si="13"/>
        <v>52</v>
      </c>
      <c r="O278" s="1" t="str">
        <f>VLOOKUP(N278,List!$F$1:$G$36,2,0)</f>
        <v>Ventas</v>
      </c>
      <c r="P278" s="1" t="str">
        <f t="shared" si="14"/>
        <v>5205</v>
      </c>
      <c r="Q278" s="1" t="str">
        <f>VLOOKUP(P278,PUC!$A$7:$B$869,2,0)</f>
        <v xml:space="preserve">Gastos de personal</v>
      </c>
      <c r="R278" s="6" t="s">
        <v>1423</v>
      </c>
      <c r="S278" s="6">
        <f>VLOOKUP(N278,List!$F:$H,3,0)</f>
        <v>0</v>
      </c>
    </row>
    <row r="279">
      <c r="A279" s="1">
        <v>739</v>
      </c>
      <c r="B279" s="3" t="s">
        <v>1242</v>
      </c>
      <c r="C279" s="3" t="s">
        <v>952</v>
      </c>
      <c r="D279" s="3" t="s">
        <v>835</v>
      </c>
      <c r="E279" s="3" t="s">
        <v>836</v>
      </c>
      <c r="F279" s="3" t="s">
        <v>21</v>
      </c>
      <c r="G279" s="3" t="s">
        <v>22</v>
      </c>
      <c r="H279" s="3" t="s">
        <v>24</v>
      </c>
      <c r="I279" s="3" t="s">
        <v>24</v>
      </c>
      <c r="J279" s="3" t="s">
        <v>25</v>
      </c>
      <c r="K279" s="1">
        <f t="shared" si="12"/>
        <v>5</v>
      </c>
      <c r="L279" s="1" t="str">
        <f>VLOOKUP(K279,List!$B$1:$D$10,2,0)</f>
        <v>Gastos</v>
      </c>
      <c r="M279" s="1" t="str">
        <f>VLOOKUP(K279,List!$B$1:$D$10,3,0)</f>
        <v>Resultado</v>
      </c>
      <c r="N279" s="1" t="str">
        <f t="shared" si="13"/>
        <v>52</v>
      </c>
      <c r="O279" s="1" t="str">
        <f>VLOOKUP(N279,List!$F$1:$G$36,2,0)</f>
        <v>Ventas</v>
      </c>
      <c r="P279" s="1" t="str">
        <f t="shared" si="14"/>
        <v>5205</v>
      </c>
      <c r="Q279" s="1" t="str">
        <f>VLOOKUP(P279,PUC!$A$7:$B$869,2,0)</f>
        <v xml:space="preserve">Gastos de personal</v>
      </c>
      <c r="R279" s="6" t="s">
        <v>1423</v>
      </c>
      <c r="S279" s="6">
        <f>VLOOKUP(N279,List!$F:$H,3,0)</f>
        <v>0</v>
      </c>
    </row>
    <row r="280">
      <c r="A280" s="1">
        <v>745</v>
      </c>
      <c r="B280" s="3" t="s">
        <v>1250</v>
      </c>
      <c r="C280" s="3" t="s">
        <v>1251</v>
      </c>
      <c r="D280" s="3" t="s">
        <v>836</v>
      </c>
      <c r="E280" s="3" t="s">
        <v>836</v>
      </c>
      <c r="F280" s="3" t="s">
        <v>21</v>
      </c>
      <c r="G280" s="3" t="s">
        <v>22</v>
      </c>
      <c r="H280" s="3" t="s">
        <v>23</v>
      </c>
      <c r="I280" s="3" t="s">
        <v>24</v>
      </c>
      <c r="J280" s="3" t="s">
        <v>25</v>
      </c>
      <c r="K280" s="1">
        <f t="shared" si="12"/>
        <v>5</v>
      </c>
      <c r="L280" s="1" t="str">
        <f>VLOOKUP(K280,List!$B$1:$D$10,2,0)</f>
        <v>Gastos</v>
      </c>
      <c r="M280" s="1" t="str">
        <f>VLOOKUP(K280,List!$B$1:$D$10,3,0)</f>
        <v>Resultado</v>
      </c>
      <c r="N280" s="1" t="str">
        <f t="shared" si="13"/>
        <v>52</v>
      </c>
      <c r="O280" s="1" t="str">
        <f>VLOOKUP(N280,List!$F$1:$G$36,2,0)</f>
        <v>Ventas</v>
      </c>
      <c r="P280" s="1" t="str">
        <f t="shared" si="14"/>
        <v>5235</v>
      </c>
      <c r="Q280" s="1" t="str">
        <f>VLOOKUP(P280,PUC!$A$7:$B$869,2,0)</f>
        <v>Servicios</v>
      </c>
      <c r="R280" s="6" t="s">
        <v>1423</v>
      </c>
      <c r="S280" s="6">
        <f>VLOOKUP(N280,List!$F:$H,3,0)</f>
        <v>0</v>
      </c>
    </row>
    <row r="281">
      <c r="A281" s="1">
        <v>750</v>
      </c>
      <c r="B281" s="3" t="s">
        <v>1257</v>
      </c>
      <c r="C281" s="3" t="s">
        <v>436</v>
      </c>
      <c r="D281" s="3" t="s">
        <v>836</v>
      </c>
      <c r="E281" s="3" t="s">
        <v>836</v>
      </c>
      <c r="F281" s="3" t="s">
        <v>21</v>
      </c>
      <c r="G281" s="3" t="s">
        <v>22</v>
      </c>
      <c r="H281" s="3" t="s">
        <v>23</v>
      </c>
      <c r="I281" s="3" t="s">
        <v>24</v>
      </c>
      <c r="J281" s="3" t="s">
        <v>25</v>
      </c>
      <c r="K281" s="1">
        <f t="shared" si="12"/>
        <v>5</v>
      </c>
      <c r="L281" s="1" t="str">
        <f>VLOOKUP(K281,List!$B$1:$D$10,2,0)</f>
        <v>Gastos</v>
      </c>
      <c r="M281" s="1" t="str">
        <f>VLOOKUP(K281,List!$B$1:$D$10,3,0)</f>
        <v>Resultado</v>
      </c>
      <c r="N281" s="1" t="str">
        <f t="shared" si="13"/>
        <v>52</v>
      </c>
      <c r="O281" s="1" t="str">
        <f>VLOOKUP(N281,List!$F$1:$G$36,2,0)</f>
        <v>Ventas</v>
      </c>
      <c r="P281" s="1" t="str">
        <f t="shared" si="14"/>
        <v>5295</v>
      </c>
      <c r="Q281" s="1" t="str">
        <f>VLOOKUP(P281,PUC!$A$7:$B$869,2,0)</f>
        <v>Diversos</v>
      </c>
      <c r="R281" s="6" t="s">
        <v>1423</v>
      </c>
      <c r="S281" s="6">
        <f>VLOOKUP(N281,List!$F:$H,3,0)</f>
        <v>0</v>
      </c>
    </row>
    <row r="282">
      <c r="A282" s="1">
        <v>753</v>
      </c>
      <c r="B282" s="3" t="s">
        <v>1261</v>
      </c>
      <c r="C282" s="3" t="s">
        <v>1262</v>
      </c>
      <c r="D282" s="3" t="s">
        <v>836</v>
      </c>
      <c r="E282" s="3" t="s">
        <v>836</v>
      </c>
      <c r="F282" s="3" t="s">
        <v>21</v>
      </c>
      <c r="G282" s="3" t="s">
        <v>22</v>
      </c>
      <c r="H282" s="3" t="s">
        <v>23</v>
      </c>
      <c r="I282" s="3" t="s">
        <v>24</v>
      </c>
      <c r="J282" s="3" t="s">
        <v>25</v>
      </c>
      <c r="K282" s="1">
        <f t="shared" si="12"/>
        <v>5</v>
      </c>
      <c r="L282" s="1" t="str">
        <f>VLOOKUP(K282,List!$B$1:$D$10,2,0)</f>
        <v>Gastos</v>
      </c>
      <c r="M282" s="1" t="str">
        <f>VLOOKUP(K282,List!$B$1:$D$10,3,0)</f>
        <v>Resultado</v>
      </c>
      <c r="N282" s="1" t="str">
        <f t="shared" si="13"/>
        <v>52</v>
      </c>
      <c r="O282" s="1" t="str">
        <f>VLOOKUP(N282,List!$F$1:$G$36,2,0)</f>
        <v>Ventas</v>
      </c>
      <c r="P282" s="1" t="str">
        <f t="shared" si="14"/>
        <v>5295</v>
      </c>
      <c r="Q282" s="1" t="str">
        <f>VLOOKUP(P282,PUC!$A$7:$B$869,2,0)</f>
        <v>Diversos</v>
      </c>
      <c r="R282" s="6" t="s">
        <v>1423</v>
      </c>
      <c r="S282" s="6">
        <f>VLOOKUP(N282,List!$F:$H,3,0)</f>
        <v>0</v>
      </c>
    </row>
    <row r="283">
      <c r="A283" s="1">
        <v>757</v>
      </c>
      <c r="B283" s="3" t="s">
        <v>1268</v>
      </c>
      <c r="C283" s="3" t="s">
        <v>1267</v>
      </c>
      <c r="D283" s="3" t="s">
        <v>836</v>
      </c>
      <c r="E283" s="3" t="s">
        <v>836</v>
      </c>
      <c r="F283" s="3" t="s">
        <v>21</v>
      </c>
      <c r="G283" s="3" t="s">
        <v>22</v>
      </c>
      <c r="H283" s="3" t="s">
        <v>23</v>
      </c>
      <c r="I283" s="3" t="s">
        <v>24</v>
      </c>
      <c r="J283" s="3" t="s">
        <v>25</v>
      </c>
      <c r="K283" s="1">
        <f t="shared" si="12"/>
        <v>5</v>
      </c>
      <c r="L283" s="1" t="str">
        <f>VLOOKUP(K283,List!$B$1:$D$10,2,0)</f>
        <v>Gastos</v>
      </c>
      <c r="M283" s="1" t="str">
        <f>VLOOKUP(K283,List!$B$1:$D$10,3,0)</f>
        <v>Resultado</v>
      </c>
      <c r="N283" s="1" t="str">
        <f t="shared" si="13"/>
        <v>53</v>
      </c>
      <c r="O283" s="1" t="str">
        <f>VLOOKUP(N283,List!$F$1:$G$36,2,0)</f>
        <v xml:space="preserve">Otros Gastos De Actividades Ordinarias</v>
      </c>
      <c r="P283" s="1" t="str">
        <f t="shared" si="14"/>
        <v>5305</v>
      </c>
      <c r="Q283" s="1" t="str">
        <f>VLOOKUP(P283,PUC!$A$7:$B$869,2,0)</f>
        <v>Financieros</v>
      </c>
      <c r="R283" s="6" t="s">
        <v>1423</v>
      </c>
      <c r="S283" s="6">
        <f>VLOOKUP(N283,List!$F:$H,3,0)</f>
        <v>0</v>
      </c>
    </row>
    <row r="284">
      <c r="A284" s="1">
        <v>759</v>
      </c>
      <c r="B284" s="3" t="s">
        <v>1270</v>
      </c>
      <c r="C284" s="3" t="s">
        <v>436</v>
      </c>
      <c r="D284" s="3" t="s">
        <v>836</v>
      </c>
      <c r="E284" s="3" t="s">
        <v>836</v>
      </c>
      <c r="F284" s="3" t="s">
        <v>21</v>
      </c>
      <c r="G284" s="3" t="s">
        <v>22</v>
      </c>
      <c r="H284" s="3" t="s">
        <v>23</v>
      </c>
      <c r="I284" s="3" t="s">
        <v>24</v>
      </c>
      <c r="J284" s="3" t="s">
        <v>25</v>
      </c>
      <c r="K284" s="1">
        <f t="shared" si="12"/>
        <v>5</v>
      </c>
      <c r="L284" s="1" t="str">
        <f>VLOOKUP(K284,List!$B$1:$D$10,2,0)</f>
        <v>Gastos</v>
      </c>
      <c r="M284" s="1" t="str">
        <f>VLOOKUP(K284,List!$B$1:$D$10,3,0)</f>
        <v>Resultado</v>
      </c>
      <c r="N284" s="1" t="str">
        <f t="shared" si="13"/>
        <v>53</v>
      </c>
      <c r="O284" s="1" t="str">
        <f>VLOOKUP(N284,List!$F$1:$G$36,2,0)</f>
        <v xml:space="preserve">Otros Gastos De Actividades Ordinarias</v>
      </c>
      <c r="P284" s="1" t="str">
        <f t="shared" si="14"/>
        <v>5305</v>
      </c>
      <c r="Q284" s="1" t="str">
        <f>VLOOKUP(P284,PUC!$A$7:$B$869,2,0)</f>
        <v>Financieros</v>
      </c>
      <c r="R284" s="6" t="s">
        <v>1423</v>
      </c>
      <c r="S284" s="6">
        <f>VLOOKUP(N284,List!$F:$H,3,0)</f>
        <v>0</v>
      </c>
    </row>
    <row r="285" s="8" customFormat="1">
      <c r="A285" s="8">
        <v>761</v>
      </c>
      <c r="B285" s="9" t="s">
        <v>1273</v>
      </c>
      <c r="C285" s="9" t="s">
        <v>1274</v>
      </c>
      <c r="D285" s="9" t="s">
        <v>836</v>
      </c>
      <c r="E285" s="9" t="s">
        <v>836</v>
      </c>
      <c r="F285" s="9" t="s">
        <v>21</v>
      </c>
      <c r="G285" s="9" t="s">
        <v>22</v>
      </c>
      <c r="H285" s="9" t="s">
        <v>23</v>
      </c>
      <c r="I285" s="9" t="s">
        <v>24</v>
      </c>
      <c r="J285" s="9" t="s">
        <v>25</v>
      </c>
      <c r="K285" s="8">
        <f t="shared" si="12"/>
        <v>5</v>
      </c>
      <c r="L285" s="8" t="str">
        <f>VLOOKUP(K285,List!$B$1:$D$10,2,0)</f>
        <v>Gastos</v>
      </c>
      <c r="M285" s="8" t="str">
        <f>VLOOKUP(K285,List!$B$1:$D$10,3,0)</f>
        <v>Resultado</v>
      </c>
      <c r="N285" s="8" t="str">
        <f t="shared" si="13"/>
        <v>53</v>
      </c>
      <c r="O285" s="8" t="str">
        <f>VLOOKUP(N285,List!$F$1:$G$36,2,0)</f>
        <v xml:space="preserve">Otros Gastos De Actividades Ordinarias</v>
      </c>
      <c r="P285" s="8" t="str">
        <f t="shared" si="14"/>
        <v>5305</v>
      </c>
      <c r="Q285" s="8" t="str">
        <f>VLOOKUP(P285,PUC!$A$7:$B$869,2,0)</f>
        <v>Financieros</v>
      </c>
      <c r="R285" s="8" t="s">
        <v>1422</v>
      </c>
      <c r="S285" s="8">
        <f>VLOOKUP(N285,List!$F:$H,3,0)</f>
        <v>0</v>
      </c>
    </row>
    <row r="286">
      <c r="A286" s="1">
        <v>762</v>
      </c>
      <c r="B286" s="3" t="s">
        <v>1275</v>
      </c>
      <c r="C286" s="3" t="s">
        <v>1276</v>
      </c>
      <c r="D286" s="3" t="s">
        <v>836</v>
      </c>
      <c r="E286" s="3" t="s">
        <v>836</v>
      </c>
      <c r="F286" s="3" t="s">
        <v>21</v>
      </c>
      <c r="G286" s="3" t="s">
        <v>22</v>
      </c>
      <c r="H286" s="3" t="s">
        <v>23</v>
      </c>
      <c r="I286" s="3" t="s">
        <v>24</v>
      </c>
      <c r="J286" s="3" t="s">
        <v>25</v>
      </c>
      <c r="K286" s="1">
        <f t="shared" si="12"/>
        <v>5</v>
      </c>
      <c r="L286" s="1" t="str">
        <f>VLOOKUP(K286,List!$B$1:$D$10,2,0)</f>
        <v>Gastos</v>
      </c>
      <c r="M286" s="1" t="str">
        <f>VLOOKUP(K286,List!$B$1:$D$10,3,0)</f>
        <v>Resultado</v>
      </c>
      <c r="N286" s="1" t="str">
        <f t="shared" si="13"/>
        <v>53</v>
      </c>
      <c r="O286" s="1" t="str">
        <f>VLOOKUP(N286,List!$F$1:$G$36,2,0)</f>
        <v xml:space="preserve">Otros Gastos De Actividades Ordinarias</v>
      </c>
      <c r="P286" s="1" t="str">
        <f t="shared" si="14"/>
        <v>5305</v>
      </c>
      <c r="Q286" s="1" t="str">
        <f>VLOOKUP(P286,PUC!$A$7:$B$869,2,0)</f>
        <v>Financieros</v>
      </c>
      <c r="R286" s="6" t="s">
        <v>1423</v>
      </c>
      <c r="S286" s="6">
        <f>VLOOKUP(N286,List!$F:$H,3,0)</f>
        <v>0</v>
      </c>
    </row>
    <row r="287">
      <c r="A287" s="1">
        <v>765</v>
      </c>
      <c r="B287" s="3" t="s">
        <v>1279</v>
      </c>
      <c r="C287" s="3" t="s">
        <v>762</v>
      </c>
      <c r="D287" s="3" t="s">
        <v>836</v>
      </c>
      <c r="E287" s="3" t="s">
        <v>836</v>
      </c>
      <c r="F287" s="3" t="s">
        <v>21</v>
      </c>
      <c r="G287" s="3" t="s">
        <v>22</v>
      </c>
      <c r="H287" s="3" t="s">
        <v>23</v>
      </c>
      <c r="I287" s="3" t="s">
        <v>24</v>
      </c>
      <c r="J287" s="3" t="s">
        <v>25</v>
      </c>
      <c r="K287" s="1">
        <f t="shared" si="12"/>
        <v>5</v>
      </c>
      <c r="L287" s="1" t="str">
        <f>VLOOKUP(K287,List!$B$1:$D$10,2,0)</f>
        <v>Gastos</v>
      </c>
      <c r="M287" s="1" t="str">
        <f>VLOOKUP(K287,List!$B$1:$D$10,3,0)</f>
        <v>Resultado</v>
      </c>
      <c r="N287" s="1" t="str">
        <f t="shared" si="13"/>
        <v>53</v>
      </c>
      <c r="O287" s="1" t="str">
        <f>VLOOKUP(N287,List!$F$1:$G$36,2,0)</f>
        <v xml:space="preserve">Otros Gastos De Actividades Ordinarias</v>
      </c>
      <c r="P287" s="1" t="str">
        <f t="shared" si="14"/>
        <v>5305</v>
      </c>
      <c r="Q287" s="1" t="str">
        <f>VLOOKUP(P287,PUC!$A$7:$B$869,2,0)</f>
        <v>Financieros</v>
      </c>
      <c r="R287" s="6" t="s">
        <v>1423</v>
      </c>
      <c r="S287" s="6">
        <f>VLOOKUP(N287,List!$F:$H,3,0)</f>
        <v>0</v>
      </c>
    </row>
    <row r="288">
      <c r="A288" s="1">
        <v>767</v>
      </c>
      <c r="B288" s="3" t="s">
        <v>1282</v>
      </c>
      <c r="C288" s="3" t="s">
        <v>1281</v>
      </c>
      <c r="D288" s="3" t="s">
        <v>531</v>
      </c>
      <c r="E288" s="3" t="s">
        <v>836</v>
      </c>
      <c r="F288" s="3" t="s">
        <v>21</v>
      </c>
      <c r="G288" s="3" t="s">
        <v>22</v>
      </c>
      <c r="H288" s="3" t="s">
        <v>23</v>
      </c>
      <c r="I288" s="3" t="s">
        <v>24</v>
      </c>
      <c r="J288" s="3" t="s">
        <v>25</v>
      </c>
      <c r="K288" s="1">
        <f t="shared" si="12"/>
        <v>5</v>
      </c>
      <c r="L288" s="1" t="str">
        <f>VLOOKUP(K288,List!$B$1:$D$10,2,0)</f>
        <v>Gastos</v>
      </c>
      <c r="M288" s="1" t="str">
        <f>VLOOKUP(K288,List!$B$1:$D$10,3,0)</f>
        <v>Resultado</v>
      </c>
      <c r="N288" s="1" t="str">
        <f t="shared" si="13"/>
        <v>53</v>
      </c>
      <c r="O288" s="1" t="str">
        <f>VLOOKUP(N288,List!$F$1:$G$36,2,0)</f>
        <v xml:space="preserve">Otros Gastos De Actividades Ordinarias</v>
      </c>
      <c r="P288" s="1" t="str">
        <f t="shared" si="14"/>
        <v>5305</v>
      </c>
      <c r="Q288" s="1" t="str">
        <f>VLOOKUP(P288,PUC!$A$7:$B$869,2,0)</f>
        <v>Financieros</v>
      </c>
      <c r="R288" s="6" t="s">
        <v>1423</v>
      </c>
      <c r="S288" s="6">
        <f>VLOOKUP(N288,List!$F:$H,3,0)</f>
        <v>0</v>
      </c>
    </row>
    <row r="289">
      <c r="A289" s="1">
        <v>773</v>
      </c>
      <c r="B289" s="3" t="s">
        <v>1293</v>
      </c>
      <c r="C289" s="3" t="s">
        <v>1294</v>
      </c>
      <c r="D289" s="3" t="s">
        <v>836</v>
      </c>
      <c r="E289" s="3" t="s">
        <v>836</v>
      </c>
      <c r="F289" s="3" t="s">
        <v>21</v>
      </c>
      <c r="G289" s="3" t="s">
        <v>22</v>
      </c>
      <c r="H289" s="3" t="s">
        <v>23</v>
      </c>
      <c r="I289" s="3" t="s">
        <v>24</v>
      </c>
      <c r="J289" s="3" t="s">
        <v>25</v>
      </c>
      <c r="K289" s="1">
        <f t="shared" si="12"/>
        <v>5</v>
      </c>
      <c r="L289" s="1" t="str">
        <f>VLOOKUP(K289,List!$B$1:$D$10,2,0)</f>
        <v>Gastos</v>
      </c>
      <c r="M289" s="1" t="str">
        <f>VLOOKUP(K289,List!$B$1:$D$10,3,0)</f>
        <v>Resultado</v>
      </c>
      <c r="N289" s="1" t="str">
        <f t="shared" si="13"/>
        <v>53</v>
      </c>
      <c r="O289" s="1" t="str">
        <f>VLOOKUP(N289,List!$F$1:$G$36,2,0)</f>
        <v xml:space="preserve">Otros Gastos De Actividades Ordinarias</v>
      </c>
      <c r="P289" s="1" t="str">
        <f t="shared" si="14"/>
        <v>5315</v>
      </c>
      <c r="Q289" s="1" t="str">
        <f>VLOOKUP(P289,PUC!$A$7:$B$869,2,0)</f>
        <v xml:space="preserve">Gastos extraordinarios</v>
      </c>
      <c r="R289" s="6" t="s">
        <v>1423</v>
      </c>
      <c r="S289" s="6">
        <f>VLOOKUP(N289,List!$F:$H,3,0)</f>
        <v>0</v>
      </c>
    </row>
    <row r="290">
      <c r="A290" s="1">
        <v>775</v>
      </c>
      <c r="B290" s="3" t="s">
        <v>1297</v>
      </c>
      <c r="C290" s="3" t="s">
        <v>1296</v>
      </c>
      <c r="D290" s="3" t="s">
        <v>836</v>
      </c>
      <c r="E290" s="3" t="s">
        <v>836</v>
      </c>
      <c r="F290" s="3" t="s">
        <v>21</v>
      </c>
      <c r="G290" s="3" t="s">
        <v>22</v>
      </c>
      <c r="H290" s="3" t="s">
        <v>23</v>
      </c>
      <c r="I290" s="3" t="s">
        <v>24</v>
      </c>
      <c r="J290" s="3" t="s">
        <v>25</v>
      </c>
      <c r="K290" s="1">
        <f t="shared" si="12"/>
        <v>5</v>
      </c>
      <c r="L290" s="1" t="str">
        <f>VLOOKUP(K290,List!$B$1:$D$10,2,0)</f>
        <v>Gastos</v>
      </c>
      <c r="M290" s="1" t="str">
        <f>VLOOKUP(K290,List!$B$1:$D$10,3,0)</f>
        <v>Resultado</v>
      </c>
      <c r="N290" s="1" t="str">
        <f t="shared" si="13"/>
        <v>53</v>
      </c>
      <c r="O290" s="1" t="str">
        <f>VLOOKUP(N290,List!$F$1:$G$36,2,0)</f>
        <v xml:space="preserve">Otros Gastos De Actividades Ordinarias</v>
      </c>
      <c r="P290" s="1" t="str">
        <f t="shared" si="14"/>
        <v>5315</v>
      </c>
      <c r="Q290" s="1" t="str">
        <f>VLOOKUP(P290,PUC!$A$7:$B$869,2,0)</f>
        <v xml:space="preserve">Gastos extraordinarios</v>
      </c>
      <c r="R290" s="6" t="s">
        <v>1423</v>
      </c>
      <c r="S290" s="6">
        <f>VLOOKUP(N290,List!$F:$H,3,0)</f>
        <v>0</v>
      </c>
    </row>
    <row r="291">
      <c r="A291" s="1">
        <v>778</v>
      </c>
      <c r="B291" s="3" t="s">
        <v>1302</v>
      </c>
      <c r="C291" s="3" t="s">
        <v>1301</v>
      </c>
      <c r="D291" s="3" t="s">
        <v>836</v>
      </c>
      <c r="E291" s="3" t="s">
        <v>836</v>
      </c>
      <c r="F291" s="3" t="s">
        <v>21</v>
      </c>
      <c r="G291" s="3" t="s">
        <v>22</v>
      </c>
      <c r="H291" s="3" t="s">
        <v>23</v>
      </c>
      <c r="I291" s="3" t="s">
        <v>24</v>
      </c>
      <c r="J291" s="3" t="s">
        <v>25</v>
      </c>
      <c r="K291" s="1">
        <f t="shared" si="12"/>
        <v>5</v>
      </c>
      <c r="L291" s="1" t="str">
        <f>VLOOKUP(K291,List!$B$1:$D$10,2,0)</f>
        <v>Gastos</v>
      </c>
      <c r="M291" s="1" t="str">
        <f>VLOOKUP(K291,List!$B$1:$D$10,3,0)</f>
        <v>Resultado</v>
      </c>
      <c r="N291" s="1" t="str">
        <f t="shared" si="13"/>
        <v>53</v>
      </c>
      <c r="O291" s="1" t="str">
        <f>VLOOKUP(N291,List!$F$1:$G$36,2,0)</f>
        <v xml:space="preserve">Otros Gastos De Actividades Ordinarias</v>
      </c>
      <c r="P291" s="1" t="str">
        <f t="shared" si="14"/>
        <v>5395</v>
      </c>
      <c r="Q291" s="1" t="str">
        <f>VLOOKUP(P291,PUC!$A$7:$B$869,2,0)</f>
        <v xml:space="preserve">Gastos diversos</v>
      </c>
      <c r="R291" s="6" t="s">
        <v>1423</v>
      </c>
      <c r="S291" s="6">
        <f>VLOOKUP(N291,List!$F:$H,3,0)</f>
        <v>0</v>
      </c>
    </row>
    <row r="292">
      <c r="A292" s="1">
        <v>781</v>
      </c>
      <c r="B292" s="3" t="s">
        <v>1306</v>
      </c>
      <c r="C292" s="3" t="s">
        <v>790</v>
      </c>
      <c r="D292" s="3" t="s">
        <v>836</v>
      </c>
      <c r="E292" s="3" t="s">
        <v>836</v>
      </c>
      <c r="F292" s="3" t="s">
        <v>21</v>
      </c>
      <c r="G292" s="3" t="s">
        <v>22</v>
      </c>
      <c r="H292" s="3" t="s">
        <v>23</v>
      </c>
      <c r="I292" s="3" t="s">
        <v>24</v>
      </c>
      <c r="J292" s="3" t="s">
        <v>25</v>
      </c>
      <c r="K292" s="1">
        <f t="shared" si="12"/>
        <v>5</v>
      </c>
      <c r="L292" s="1" t="str">
        <f>VLOOKUP(K292,List!$B$1:$D$10,2,0)</f>
        <v>Gastos</v>
      </c>
      <c r="M292" s="1" t="str">
        <f>VLOOKUP(K292,List!$B$1:$D$10,3,0)</f>
        <v>Resultado</v>
      </c>
      <c r="N292" s="1" t="str">
        <f t="shared" si="13"/>
        <v>53</v>
      </c>
      <c r="O292" s="1" t="str">
        <f>VLOOKUP(N292,List!$F$1:$G$36,2,0)</f>
        <v xml:space="preserve">Otros Gastos De Actividades Ordinarias</v>
      </c>
      <c r="P292" s="1" t="str">
        <f t="shared" si="14"/>
        <v>5395</v>
      </c>
      <c r="Q292" s="1" t="str">
        <f>VLOOKUP(P292,PUC!$A$7:$B$869,2,0)</f>
        <v xml:space="preserve">Gastos diversos</v>
      </c>
      <c r="R292" s="6" t="s">
        <v>1423</v>
      </c>
      <c r="S292" s="6">
        <f>VLOOKUP(N292,List!$F:$H,3,0)</f>
        <v>0</v>
      </c>
    </row>
    <row r="293">
      <c r="A293" s="1">
        <v>783</v>
      </c>
      <c r="B293" s="3" t="s">
        <v>1308</v>
      </c>
      <c r="C293" s="3" t="s">
        <v>108</v>
      </c>
      <c r="D293" s="3" t="s">
        <v>836</v>
      </c>
      <c r="E293" s="3" t="s">
        <v>836</v>
      </c>
      <c r="F293" s="3" t="s">
        <v>21</v>
      </c>
      <c r="G293" s="3" t="s">
        <v>22</v>
      </c>
      <c r="H293" s="3" t="s">
        <v>23</v>
      </c>
      <c r="I293" s="3" t="s">
        <v>24</v>
      </c>
      <c r="J293" s="3" t="s">
        <v>25</v>
      </c>
      <c r="K293" s="1">
        <f t="shared" si="12"/>
        <v>5</v>
      </c>
      <c r="L293" s="1" t="str">
        <f>VLOOKUP(K293,List!$B$1:$D$10,2,0)</f>
        <v>Gastos</v>
      </c>
      <c r="M293" s="1" t="str">
        <f>VLOOKUP(K293,List!$B$1:$D$10,3,0)</f>
        <v>Resultado</v>
      </c>
      <c r="N293" s="1" t="str">
        <f t="shared" si="13"/>
        <v>53</v>
      </c>
      <c r="O293" s="1" t="str">
        <f>VLOOKUP(N293,List!$F$1:$G$36,2,0)</f>
        <v xml:space="preserve">Otros Gastos De Actividades Ordinarias</v>
      </c>
      <c r="P293" s="1" t="str">
        <f t="shared" si="14"/>
        <v>5395</v>
      </c>
      <c r="Q293" s="1" t="str">
        <f>VLOOKUP(P293,PUC!$A$7:$B$869,2,0)</f>
        <v xml:space="preserve">Gastos diversos</v>
      </c>
      <c r="R293" s="6" t="s">
        <v>1423</v>
      </c>
      <c r="S293" s="6">
        <f>VLOOKUP(N293,List!$F:$H,3,0)</f>
        <v>0</v>
      </c>
    </row>
    <row r="294">
      <c r="A294" s="1">
        <v>787</v>
      </c>
      <c r="B294" s="3" t="s">
        <v>1313</v>
      </c>
      <c r="C294" s="3" t="s">
        <v>1310</v>
      </c>
      <c r="D294" s="3" t="s">
        <v>836</v>
      </c>
      <c r="E294" s="3" t="s">
        <v>836</v>
      </c>
      <c r="F294" s="3" t="s">
        <v>21</v>
      </c>
      <c r="G294" s="3" t="s">
        <v>22</v>
      </c>
      <c r="H294" s="3" t="s">
        <v>23</v>
      </c>
      <c r="I294" s="3" t="s">
        <v>24</v>
      </c>
      <c r="J294" s="3" t="s">
        <v>25</v>
      </c>
      <c r="K294" s="1">
        <f t="shared" si="12"/>
        <v>5</v>
      </c>
      <c r="L294" s="1" t="str">
        <f>VLOOKUP(K294,List!$B$1:$D$10,2,0)</f>
        <v>Gastos</v>
      </c>
      <c r="M294" s="1" t="str">
        <f>VLOOKUP(K294,List!$B$1:$D$10,3,0)</f>
        <v>Resultado</v>
      </c>
      <c r="N294" s="1" t="str">
        <f t="shared" si="13"/>
        <v>54</v>
      </c>
      <c r="O294" s="1" t="str">
        <f>VLOOKUP(N294,List!$F$1:$G$36,2,0)</f>
        <v xml:space="preserve">Impuesto De Renta Y Complementarios</v>
      </c>
      <c r="P294" s="1" t="str">
        <f t="shared" si="14"/>
        <v>5405</v>
      </c>
      <c r="Q294" s="1" t="str">
        <f>VLOOKUP(P294,PUC!$A$7:$B$869,2,0)</f>
        <v xml:space="preserve">Impuesto de renta y complementarios</v>
      </c>
      <c r="R294" s="6" t="s">
        <v>1422</v>
      </c>
      <c r="S294" s="6">
        <f>VLOOKUP(N294,List!$F:$H,3,0)</f>
        <v>0</v>
      </c>
    </row>
    <row r="295">
      <c r="A295" s="1">
        <v>788</v>
      </c>
      <c r="B295" s="3" t="s">
        <v>1314</v>
      </c>
      <c r="C295" s="3" t="s">
        <v>202</v>
      </c>
      <c r="D295" s="3" t="s">
        <v>836</v>
      </c>
      <c r="E295" s="3" t="s">
        <v>836</v>
      </c>
      <c r="F295" s="3" t="s">
        <v>21</v>
      </c>
      <c r="G295" s="3" t="s">
        <v>22</v>
      </c>
      <c r="H295" s="3" t="s">
        <v>23</v>
      </c>
      <c r="I295" s="3" t="s">
        <v>24</v>
      </c>
      <c r="J295" s="3" t="s">
        <v>25</v>
      </c>
      <c r="K295" s="1">
        <f t="shared" si="12"/>
        <v>5</v>
      </c>
      <c r="L295" s="1" t="str">
        <f>VLOOKUP(K295,List!$B$1:$D$10,2,0)</f>
        <v>Gastos</v>
      </c>
      <c r="M295" s="1" t="str">
        <f>VLOOKUP(K295,List!$B$1:$D$10,3,0)</f>
        <v>Resultado</v>
      </c>
      <c r="N295" s="1" t="str">
        <f t="shared" si="13"/>
        <v>54</v>
      </c>
      <c r="O295" s="1" t="str">
        <f>VLOOKUP(N295,List!$F$1:$G$36,2,0)</f>
        <v xml:space="preserve">Impuesto De Renta Y Complementarios</v>
      </c>
      <c r="P295" s="1" t="str">
        <f t="shared" si="14"/>
        <v>5405</v>
      </c>
      <c r="Q295" s="1" t="str">
        <f>VLOOKUP(P295,PUC!$A$7:$B$869,2,0)</f>
        <v xml:space="preserve">Impuesto de renta y complementarios</v>
      </c>
      <c r="R295" s="6" t="s">
        <v>1422</v>
      </c>
      <c r="S295" s="6">
        <f>VLOOKUP(N295,List!$F:$H,3,0)</f>
        <v>0</v>
      </c>
    </row>
    <row r="296">
      <c r="A296" s="1">
        <v>401</v>
      </c>
      <c r="B296" s="3" t="s">
        <v>723</v>
      </c>
      <c r="C296" s="3" t="s">
        <v>721</v>
      </c>
      <c r="D296" s="3" t="s">
        <v>717</v>
      </c>
      <c r="E296" s="3" t="s">
        <v>717</v>
      </c>
      <c r="F296" s="3" t="s">
        <v>21</v>
      </c>
      <c r="G296" s="3" t="s">
        <v>22</v>
      </c>
      <c r="H296" s="3" t="s">
        <v>23</v>
      </c>
      <c r="I296" s="3" t="s">
        <v>24</v>
      </c>
      <c r="J296" s="3" t="s">
        <v>25</v>
      </c>
      <c r="K296" s="1">
        <f t="shared" si="12"/>
        <v>4</v>
      </c>
      <c r="L296" s="1" t="str">
        <f>VLOOKUP(K296,List!$B$1:$D$10,2,0)</f>
        <v>Ingresos</v>
      </c>
      <c r="M296" s="1" t="str">
        <f>VLOOKUP(K296,List!$B$1:$D$10,3,0)</f>
        <v>Resultado</v>
      </c>
      <c r="N296" s="1" t="str">
        <f t="shared" si="13"/>
        <v>41</v>
      </c>
      <c r="O296" s="1" t="str">
        <f>VLOOKUP(N296,List!$F$1:$G$36,2,0)</f>
        <v xml:space="preserve">Ingresos De Actividades Ordinarias</v>
      </c>
      <c r="P296" s="1" t="str">
        <f t="shared" si="14"/>
        <v>4135</v>
      </c>
      <c r="Q296" s="1" t="str">
        <f>VLOOKUP(P296,PUC!$A$7:$B$869,2,0)</f>
        <v xml:space="preserve">Comercio al por mayor y al detal</v>
      </c>
      <c r="R296" s="6" t="s">
        <v>1423</v>
      </c>
      <c r="S296" s="6">
        <f>VLOOKUP(N296,List!$F:$H,3,0)</f>
        <v>0</v>
      </c>
    </row>
    <row r="297">
      <c r="A297" s="1">
        <v>402</v>
      </c>
      <c r="B297" s="3" t="s">
        <v>724</v>
      </c>
      <c r="C297" s="3" t="s">
        <v>725</v>
      </c>
      <c r="D297" s="3" t="s">
        <v>717</v>
      </c>
      <c r="E297" s="3" t="s">
        <v>717</v>
      </c>
      <c r="F297" s="3" t="s">
        <v>21</v>
      </c>
      <c r="G297" s="3" t="s">
        <v>22</v>
      </c>
      <c r="H297" s="3" t="s">
        <v>23</v>
      </c>
      <c r="I297" s="3" t="s">
        <v>24</v>
      </c>
      <c r="J297" s="3" t="s">
        <v>25</v>
      </c>
      <c r="K297" s="1">
        <f t="shared" si="12"/>
        <v>4</v>
      </c>
      <c r="L297" s="1" t="str">
        <f>VLOOKUP(K297,List!$B$1:$D$10,2,0)</f>
        <v>Ingresos</v>
      </c>
      <c r="M297" s="1" t="str">
        <f>VLOOKUP(K297,List!$B$1:$D$10,3,0)</f>
        <v>Resultado</v>
      </c>
      <c r="N297" s="1" t="str">
        <f t="shared" si="13"/>
        <v>41</v>
      </c>
      <c r="O297" s="1" t="str">
        <f>VLOOKUP(N297,List!$F$1:$G$36,2,0)</f>
        <v xml:space="preserve">Ingresos De Actividades Ordinarias</v>
      </c>
      <c r="P297" s="1" t="str">
        <f t="shared" si="14"/>
        <v>4135</v>
      </c>
      <c r="Q297" s="1" t="str">
        <f>VLOOKUP(P297,PUC!$A$7:$B$869,2,0)</f>
        <v xml:space="preserve">Comercio al por mayor y al detal</v>
      </c>
      <c r="R297" s="6" t="s">
        <v>1423</v>
      </c>
      <c r="S297" s="6">
        <f>VLOOKUP(N297,List!$F:$H,3,0)</f>
        <v>0</v>
      </c>
    </row>
    <row r="298">
      <c r="A298" s="1">
        <v>403</v>
      </c>
      <c r="B298" s="3" t="s">
        <v>726</v>
      </c>
      <c r="C298" s="3" t="s">
        <v>727</v>
      </c>
      <c r="D298" s="3" t="s">
        <v>717</v>
      </c>
      <c r="E298" s="3" t="s">
        <v>717</v>
      </c>
      <c r="F298" s="3" t="s">
        <v>21</v>
      </c>
      <c r="G298" s="3" t="s">
        <v>22</v>
      </c>
      <c r="H298" s="3" t="s">
        <v>24</v>
      </c>
      <c r="I298" s="3" t="s">
        <v>24</v>
      </c>
      <c r="J298" s="3" t="s">
        <v>25</v>
      </c>
      <c r="K298" s="1">
        <f t="shared" si="12"/>
        <v>4</v>
      </c>
      <c r="L298" s="1" t="str">
        <f>VLOOKUP(K298,List!$B$1:$D$10,2,0)</f>
        <v>Ingresos</v>
      </c>
      <c r="M298" s="1" t="str">
        <f>VLOOKUP(K298,List!$B$1:$D$10,3,0)</f>
        <v>Resultado</v>
      </c>
      <c r="N298" s="1" t="str">
        <f t="shared" si="13"/>
        <v>41</v>
      </c>
      <c r="O298" s="1" t="str">
        <f>VLOOKUP(N298,List!$F$1:$G$36,2,0)</f>
        <v xml:space="preserve">Ingresos De Actividades Ordinarias</v>
      </c>
      <c r="P298" s="1" t="str">
        <f t="shared" si="14"/>
        <v>4135</v>
      </c>
      <c r="Q298" s="1" t="str">
        <f>VLOOKUP(P298,PUC!$A$7:$B$869,2,0)</f>
        <v xml:space="preserve">Comercio al por mayor y al detal</v>
      </c>
      <c r="R298" s="6" t="s">
        <v>1423</v>
      </c>
      <c r="S298" s="6">
        <f>VLOOKUP(N298,List!$F:$H,3,0)</f>
        <v>0</v>
      </c>
    </row>
    <row r="299">
      <c r="A299" s="1">
        <v>406</v>
      </c>
      <c r="B299" s="3" t="s">
        <v>732</v>
      </c>
      <c r="C299" s="3" t="s">
        <v>733</v>
      </c>
      <c r="D299" s="3" t="s">
        <v>717</v>
      </c>
      <c r="E299" s="3" t="s">
        <v>717</v>
      </c>
      <c r="F299" s="3" t="s">
        <v>21</v>
      </c>
      <c r="G299" s="3" t="s">
        <v>22</v>
      </c>
      <c r="H299" s="3" t="s">
        <v>23</v>
      </c>
      <c r="I299" s="3" t="s">
        <v>24</v>
      </c>
      <c r="J299" s="3" t="s">
        <v>25</v>
      </c>
      <c r="K299" s="1">
        <f t="shared" si="12"/>
        <v>4</v>
      </c>
      <c r="L299" s="1" t="str">
        <f>VLOOKUP(K299,List!$B$1:$D$10,2,0)</f>
        <v>Ingresos</v>
      </c>
      <c r="M299" s="1" t="str">
        <f>VLOOKUP(K299,List!$B$1:$D$10,3,0)</f>
        <v>Resultado</v>
      </c>
      <c r="N299" s="1" t="str">
        <f t="shared" si="13"/>
        <v>41</v>
      </c>
      <c r="O299" s="1" t="str">
        <f>VLOOKUP(N299,List!$F$1:$G$36,2,0)</f>
        <v xml:space="preserve">Ingresos De Actividades Ordinarias</v>
      </c>
      <c r="P299" s="1" t="str">
        <f t="shared" si="14"/>
        <v>4155</v>
      </c>
      <c r="Q299" s="1" t="str">
        <f>VLOOKUP(P299,PUC!$A$7:$B$869,2,0)</f>
        <v xml:space="preserve">ACTIVIDADES INMOBILIARIAS  EMPRESARIALES</v>
      </c>
      <c r="R299" s="6" t="s">
        <v>1423</v>
      </c>
      <c r="S299" s="6">
        <f>VLOOKUP(N299,List!$F:$H,3,0)</f>
        <v>0</v>
      </c>
    </row>
    <row r="300">
      <c r="A300" s="1">
        <v>409</v>
      </c>
      <c r="B300" s="3" t="s">
        <v>738</v>
      </c>
      <c r="C300" s="3" t="s">
        <v>735</v>
      </c>
      <c r="D300" s="3" t="s">
        <v>717</v>
      </c>
      <c r="E300" s="3" t="s">
        <v>717</v>
      </c>
      <c r="F300" s="3" t="s">
        <v>21</v>
      </c>
      <c r="G300" s="3" t="s">
        <v>22</v>
      </c>
      <c r="H300" s="3" t="s">
        <v>23</v>
      </c>
      <c r="I300" s="3" t="s">
        <v>24</v>
      </c>
      <c r="J300" s="3" t="s">
        <v>25</v>
      </c>
      <c r="K300" s="1">
        <f t="shared" si="12"/>
        <v>4</v>
      </c>
      <c r="L300" s="1" t="str">
        <f>VLOOKUP(K300,List!$B$1:$D$10,2,0)</f>
        <v>Ingresos</v>
      </c>
      <c r="M300" s="1" t="str">
        <f>VLOOKUP(K300,List!$B$1:$D$10,3,0)</f>
        <v>Resultado</v>
      </c>
      <c r="N300" s="1" t="str">
        <f t="shared" si="13"/>
        <v>41</v>
      </c>
      <c r="O300" s="1" t="str">
        <f>VLOOKUP(N300,List!$F$1:$G$36,2,0)</f>
        <v xml:space="preserve">Ingresos De Actividades Ordinarias</v>
      </c>
      <c r="P300" s="1" t="str">
        <f t="shared" si="14"/>
        <v>4175</v>
      </c>
      <c r="Q300" s="1" t="str">
        <f>VLOOKUP(P300,PUC!$A$7:$B$869,2,0)</f>
        <v xml:space="preserve">Devolución en ventas</v>
      </c>
      <c r="R300" s="6" t="s">
        <v>1423</v>
      </c>
      <c r="S300" s="6">
        <f>VLOOKUP(N300,List!$F:$H,3,0)</f>
        <v>0</v>
      </c>
    </row>
    <row r="301">
      <c r="A301" s="1">
        <v>410</v>
      </c>
      <c r="B301" s="3" t="s">
        <v>739</v>
      </c>
      <c r="C301" s="3" t="s">
        <v>740</v>
      </c>
      <c r="D301" s="3" t="s">
        <v>717</v>
      </c>
      <c r="E301" s="3" t="s">
        <v>717</v>
      </c>
      <c r="F301" s="3" t="s">
        <v>21</v>
      </c>
      <c r="G301" s="3" t="s">
        <v>22</v>
      </c>
      <c r="H301" s="3" t="s">
        <v>23</v>
      </c>
      <c r="I301" s="3" t="s">
        <v>24</v>
      </c>
      <c r="J301" s="3" t="s">
        <v>25</v>
      </c>
      <c r="K301" s="1">
        <f t="shared" si="12"/>
        <v>4</v>
      </c>
      <c r="L301" s="1" t="str">
        <f>VLOOKUP(K301,List!$B$1:$D$10,2,0)</f>
        <v>Ingresos</v>
      </c>
      <c r="M301" s="1" t="str">
        <f>VLOOKUP(K301,List!$B$1:$D$10,3,0)</f>
        <v>Resultado</v>
      </c>
      <c r="N301" s="1" t="str">
        <f t="shared" si="13"/>
        <v>41</v>
      </c>
      <c r="O301" s="1" t="str">
        <f>VLOOKUP(N301,List!$F$1:$G$36,2,0)</f>
        <v xml:space="preserve">Ingresos De Actividades Ordinarias</v>
      </c>
      <c r="P301" s="1" t="str">
        <f t="shared" si="14"/>
        <v>4175</v>
      </c>
      <c r="Q301" s="1" t="str">
        <f>VLOOKUP(P301,PUC!$A$7:$B$869,2,0)</f>
        <v xml:space="preserve">Devolución en ventas</v>
      </c>
      <c r="R301" s="6" t="s">
        <v>1423</v>
      </c>
      <c r="S301" s="6">
        <f>VLOOKUP(N301,List!$F:$H,3,0)</f>
        <v>0</v>
      </c>
    </row>
    <row r="302">
      <c r="A302" s="1">
        <v>411</v>
      </c>
      <c r="B302" s="3" t="s">
        <v>741</v>
      </c>
      <c r="C302" s="3" t="s">
        <v>742</v>
      </c>
      <c r="D302" s="3" t="s">
        <v>717</v>
      </c>
      <c r="E302" s="3" t="s">
        <v>717</v>
      </c>
      <c r="F302" s="3" t="s">
        <v>21</v>
      </c>
      <c r="G302" s="3" t="s">
        <v>22</v>
      </c>
      <c r="H302" s="3" t="s">
        <v>23</v>
      </c>
      <c r="I302" s="3" t="s">
        <v>24</v>
      </c>
      <c r="J302" s="3" t="s">
        <v>25</v>
      </c>
      <c r="K302" s="1">
        <f t="shared" si="12"/>
        <v>4</v>
      </c>
      <c r="L302" s="1" t="str">
        <f>VLOOKUP(K302,List!$B$1:$D$10,2,0)</f>
        <v>Ingresos</v>
      </c>
      <c r="M302" s="1" t="str">
        <f>VLOOKUP(K302,List!$B$1:$D$10,3,0)</f>
        <v>Resultado</v>
      </c>
      <c r="N302" s="1" t="str">
        <f t="shared" si="13"/>
        <v>41</v>
      </c>
      <c r="O302" s="1" t="str">
        <f>VLOOKUP(N302,List!$F$1:$G$36,2,0)</f>
        <v xml:space="preserve">Ingresos De Actividades Ordinarias</v>
      </c>
      <c r="P302" s="1" t="str">
        <f t="shared" si="14"/>
        <v>4175</v>
      </c>
      <c r="Q302" s="1" t="str">
        <f>VLOOKUP(P302,PUC!$A$7:$B$869,2,0)</f>
        <v xml:space="preserve">Devolución en ventas</v>
      </c>
      <c r="R302" s="6" t="s">
        <v>1423</v>
      </c>
      <c r="S302" s="6">
        <f>VLOOKUP(N302,List!$F:$H,3,0)</f>
        <v>0</v>
      </c>
    </row>
    <row r="303">
      <c r="A303" s="1">
        <v>412</v>
      </c>
      <c r="B303" s="3" t="s">
        <v>743</v>
      </c>
      <c r="C303" s="3" t="s">
        <v>744</v>
      </c>
      <c r="D303" s="3" t="s">
        <v>717</v>
      </c>
      <c r="E303" s="3" t="s">
        <v>717</v>
      </c>
      <c r="F303" s="3" t="s">
        <v>21</v>
      </c>
      <c r="G303" s="3" t="s">
        <v>22</v>
      </c>
      <c r="H303" s="3" t="s">
        <v>24</v>
      </c>
      <c r="I303" s="3" t="s">
        <v>24</v>
      </c>
      <c r="J303" s="3" t="s">
        <v>25</v>
      </c>
      <c r="K303" s="1">
        <f t="shared" si="12"/>
        <v>4</v>
      </c>
      <c r="L303" s="1" t="str">
        <f>VLOOKUP(K303,List!$B$1:$D$10,2,0)</f>
        <v>Ingresos</v>
      </c>
      <c r="M303" s="1" t="str">
        <f>VLOOKUP(K303,List!$B$1:$D$10,3,0)</f>
        <v>Resultado</v>
      </c>
      <c r="N303" s="1" t="str">
        <f t="shared" si="13"/>
        <v>41</v>
      </c>
      <c r="O303" s="1" t="str">
        <f>VLOOKUP(N303,List!$F$1:$G$36,2,0)</f>
        <v xml:space="preserve">Ingresos De Actividades Ordinarias</v>
      </c>
      <c r="P303" s="1" t="str">
        <f t="shared" si="14"/>
        <v>4175</v>
      </c>
      <c r="Q303" s="1" t="str">
        <f>VLOOKUP(P303,PUC!$A$7:$B$869,2,0)</f>
        <v xml:space="preserve">Devolución en ventas</v>
      </c>
      <c r="R303" s="6" t="s">
        <v>1423</v>
      </c>
      <c r="S303" s="6">
        <f>VLOOKUP(N303,List!$F:$H,3,0)</f>
        <v>0</v>
      </c>
    </row>
    <row r="304">
      <c r="A304" s="1">
        <v>415</v>
      </c>
      <c r="B304" s="3" t="s">
        <v>747</v>
      </c>
      <c r="C304" s="3" t="s">
        <v>441</v>
      </c>
      <c r="D304" s="3" t="s">
        <v>717</v>
      </c>
      <c r="E304" s="3" t="s">
        <v>717</v>
      </c>
      <c r="F304" s="3" t="s">
        <v>21</v>
      </c>
      <c r="G304" s="3" t="s">
        <v>22</v>
      </c>
      <c r="H304" s="3" t="s">
        <v>23</v>
      </c>
      <c r="I304" s="3" t="s">
        <v>24</v>
      </c>
      <c r="J304" s="3" t="s">
        <v>25</v>
      </c>
      <c r="K304" s="1">
        <f t="shared" si="12"/>
        <v>4</v>
      </c>
      <c r="L304" s="1" t="str">
        <f>VLOOKUP(K304,List!$B$1:$D$10,2,0)</f>
        <v>Ingresos</v>
      </c>
      <c r="M304" s="1" t="str">
        <f>VLOOKUP(K304,List!$B$1:$D$10,3,0)</f>
        <v>Resultado</v>
      </c>
      <c r="N304" s="1" t="str">
        <f t="shared" si="13"/>
        <v>41</v>
      </c>
      <c r="O304" s="1" t="str">
        <f>VLOOKUP(N304,List!$F$1:$G$36,2,0)</f>
        <v xml:space="preserve">Ingresos De Actividades Ordinarias</v>
      </c>
      <c r="P304" s="1" t="str">
        <f t="shared" si="14"/>
        <v>4180</v>
      </c>
      <c r="Q304" s="1" t="str">
        <f>VLOOKUP(P304,PUC!$A$7:$B$869,2,0)</f>
        <v>Servicios</v>
      </c>
      <c r="R304" s="6" t="s">
        <v>1423</v>
      </c>
      <c r="S304" s="6">
        <f>VLOOKUP(N304,List!$F:$H,3,0)</f>
        <v>0</v>
      </c>
    </row>
    <row r="305">
      <c r="A305" s="1">
        <v>416</v>
      </c>
      <c r="B305" s="3" t="s">
        <v>748</v>
      </c>
      <c r="C305" s="3" t="s">
        <v>749</v>
      </c>
      <c r="D305" s="3" t="s">
        <v>717</v>
      </c>
      <c r="E305" s="3" t="s">
        <v>717</v>
      </c>
      <c r="F305" s="3" t="s">
        <v>21</v>
      </c>
      <c r="G305" s="3" t="s">
        <v>22</v>
      </c>
      <c r="H305" s="3" t="s">
        <v>23</v>
      </c>
      <c r="I305" s="3" t="s">
        <v>24</v>
      </c>
      <c r="J305" s="3" t="s">
        <v>25</v>
      </c>
      <c r="K305" s="1">
        <f t="shared" si="12"/>
        <v>4</v>
      </c>
      <c r="L305" s="1" t="str">
        <f>VLOOKUP(K305,List!$B$1:$D$10,2,0)</f>
        <v>Ingresos</v>
      </c>
      <c r="M305" s="1" t="str">
        <f>VLOOKUP(K305,List!$B$1:$D$10,3,0)</f>
        <v>Resultado</v>
      </c>
      <c r="N305" s="1" t="str">
        <f t="shared" si="13"/>
        <v>41</v>
      </c>
      <c r="O305" s="1" t="str">
        <f>VLOOKUP(N305,List!$F$1:$G$36,2,0)</f>
        <v xml:space="preserve">Ingresos De Actividades Ordinarias</v>
      </c>
      <c r="P305" s="1" t="str">
        <f t="shared" si="14"/>
        <v>4180</v>
      </c>
      <c r="Q305" s="1" t="str">
        <f>VLOOKUP(P305,PUC!$A$7:$B$869,2,0)</f>
        <v>Servicios</v>
      </c>
      <c r="R305" s="6" t="s">
        <v>1423</v>
      </c>
      <c r="S305" s="6">
        <f>VLOOKUP(N305,List!$F:$H,3,0)</f>
        <v>0</v>
      </c>
    </row>
    <row r="306">
      <c r="A306" s="1">
        <v>417</v>
      </c>
      <c r="B306" s="3" t="s">
        <v>750</v>
      </c>
      <c r="C306" s="3" t="s">
        <v>751</v>
      </c>
      <c r="D306" s="3" t="s">
        <v>717</v>
      </c>
      <c r="E306" s="3" t="s">
        <v>717</v>
      </c>
      <c r="F306" s="3" t="s">
        <v>21</v>
      </c>
      <c r="G306" s="3" t="s">
        <v>22</v>
      </c>
      <c r="H306" s="3" t="s">
        <v>24</v>
      </c>
      <c r="I306" s="3" t="s">
        <v>24</v>
      </c>
      <c r="J306" s="3" t="s">
        <v>25</v>
      </c>
      <c r="K306" s="1">
        <f t="shared" si="12"/>
        <v>4</v>
      </c>
      <c r="L306" s="1" t="str">
        <f>VLOOKUP(K306,List!$B$1:$D$10,2,0)</f>
        <v>Ingresos</v>
      </c>
      <c r="M306" s="1" t="str">
        <f>VLOOKUP(K306,List!$B$1:$D$10,3,0)</f>
        <v>Resultado</v>
      </c>
      <c r="N306" s="1" t="str">
        <f t="shared" si="13"/>
        <v>41</v>
      </c>
      <c r="O306" s="1" t="str">
        <f>VLOOKUP(N306,List!$F$1:$G$36,2,0)</f>
        <v xml:space="preserve">Ingresos De Actividades Ordinarias</v>
      </c>
      <c r="P306" s="1" t="str">
        <f t="shared" si="14"/>
        <v>4180</v>
      </c>
      <c r="Q306" s="1" t="str">
        <f>VLOOKUP(P306,PUC!$A$7:$B$869,2,0)</f>
        <v>Servicios</v>
      </c>
      <c r="R306" s="6" t="s">
        <v>1423</v>
      </c>
      <c r="S306" s="6">
        <f>VLOOKUP(N306,List!$F:$H,3,0)</f>
        <v>0</v>
      </c>
    </row>
    <row r="307">
      <c r="A307" s="1">
        <v>421</v>
      </c>
      <c r="B307" s="3" t="s">
        <v>758</v>
      </c>
      <c r="C307" s="3" t="s">
        <v>757</v>
      </c>
      <c r="D307" s="3" t="s">
        <v>717</v>
      </c>
      <c r="E307" s="3" t="s">
        <v>717</v>
      </c>
      <c r="F307" s="3" t="s">
        <v>21</v>
      </c>
      <c r="G307" s="3" t="s">
        <v>22</v>
      </c>
      <c r="H307" s="3" t="s">
        <v>23</v>
      </c>
      <c r="I307" s="3" t="s">
        <v>24</v>
      </c>
      <c r="J307" s="3" t="s">
        <v>25</v>
      </c>
      <c r="K307" s="1">
        <f t="shared" si="12"/>
        <v>4</v>
      </c>
      <c r="L307" s="1" t="str">
        <f>VLOOKUP(K307,List!$B$1:$D$10,2,0)</f>
        <v>Ingresos</v>
      </c>
      <c r="M307" s="1" t="str">
        <f>VLOOKUP(K307,List!$B$1:$D$10,3,0)</f>
        <v>Resultado</v>
      </c>
      <c r="N307" s="1" t="str">
        <f t="shared" si="13"/>
        <v>42</v>
      </c>
      <c r="O307" s="1" t="str">
        <f>VLOOKUP(N307,List!$F$1:$G$36,2,0)</f>
        <v xml:space="preserve">Otros Ingresos De Actividades Ordinarias</v>
      </c>
      <c r="P307" s="1" t="str">
        <f t="shared" si="14"/>
        <v>4210</v>
      </c>
      <c r="Q307" s="1" t="str">
        <f>VLOOKUP(P307,PUC!$A$7:$B$869,2,0)</f>
        <v>Financieros</v>
      </c>
      <c r="R307" s="6" t="s">
        <v>1423</v>
      </c>
      <c r="S307" s="6">
        <f>VLOOKUP(N307,List!$F:$H,3,0)</f>
        <v>0</v>
      </c>
    </row>
    <row r="308">
      <c r="A308" s="1">
        <v>422</v>
      </c>
      <c r="B308" s="3" t="s">
        <v>759</v>
      </c>
      <c r="C308" s="3" t="s">
        <v>760</v>
      </c>
      <c r="D308" s="3" t="s">
        <v>717</v>
      </c>
      <c r="E308" s="3" t="s">
        <v>717</v>
      </c>
      <c r="F308" s="3" t="s">
        <v>21</v>
      </c>
      <c r="G308" s="3" t="s">
        <v>22</v>
      </c>
      <c r="H308" s="3" t="s">
        <v>24</v>
      </c>
      <c r="I308" s="3" t="s">
        <v>24</v>
      </c>
      <c r="J308" s="3" t="s">
        <v>25</v>
      </c>
      <c r="K308" s="1">
        <f t="shared" si="12"/>
        <v>4</v>
      </c>
      <c r="L308" s="1" t="str">
        <f>VLOOKUP(K308,List!$B$1:$D$10,2,0)</f>
        <v>Ingresos</v>
      </c>
      <c r="M308" s="1" t="str">
        <f>VLOOKUP(K308,List!$B$1:$D$10,3,0)</f>
        <v>Resultado</v>
      </c>
      <c r="N308" s="1" t="str">
        <f t="shared" si="13"/>
        <v>42</v>
      </c>
      <c r="O308" s="1" t="str">
        <f>VLOOKUP(N308,List!$F$1:$G$36,2,0)</f>
        <v xml:space="preserve">Otros Ingresos De Actividades Ordinarias</v>
      </c>
      <c r="P308" s="1" t="str">
        <f t="shared" si="14"/>
        <v>4210</v>
      </c>
      <c r="Q308" s="1" t="str">
        <f>VLOOKUP(P308,PUC!$A$7:$B$869,2,0)</f>
        <v>Financieros</v>
      </c>
      <c r="R308" s="6" t="s">
        <v>1423</v>
      </c>
      <c r="S308" s="6">
        <f>VLOOKUP(N308,List!$F:$H,3,0)</f>
        <v>0</v>
      </c>
    </row>
    <row r="309">
      <c r="A309" s="1">
        <v>424</v>
      </c>
      <c r="B309" s="3" t="s">
        <v>763</v>
      </c>
      <c r="C309" s="3" t="s">
        <v>762</v>
      </c>
      <c r="D309" s="3" t="s">
        <v>717</v>
      </c>
      <c r="E309" s="3" t="s">
        <v>717</v>
      </c>
      <c r="F309" s="3" t="s">
        <v>21</v>
      </c>
      <c r="G309" s="3" t="s">
        <v>22</v>
      </c>
      <c r="H309" s="3" t="s">
        <v>23</v>
      </c>
      <c r="I309" s="3" t="s">
        <v>24</v>
      </c>
      <c r="J309" s="3" t="s">
        <v>25</v>
      </c>
      <c r="K309" s="1">
        <f t="shared" si="12"/>
        <v>4</v>
      </c>
      <c r="L309" s="1" t="str">
        <f>VLOOKUP(K309,List!$B$1:$D$10,2,0)</f>
        <v>Ingresos</v>
      </c>
      <c r="M309" s="1" t="str">
        <f>VLOOKUP(K309,List!$B$1:$D$10,3,0)</f>
        <v>Resultado</v>
      </c>
      <c r="N309" s="1" t="str">
        <f t="shared" si="13"/>
        <v>42</v>
      </c>
      <c r="O309" s="1" t="str">
        <f>VLOOKUP(N309,List!$F$1:$G$36,2,0)</f>
        <v xml:space="preserve">Otros Ingresos De Actividades Ordinarias</v>
      </c>
      <c r="P309" s="1" t="str">
        <f t="shared" si="14"/>
        <v>4210</v>
      </c>
      <c r="Q309" s="1" t="str">
        <f>VLOOKUP(P309,PUC!$A$7:$B$869,2,0)</f>
        <v>Financieros</v>
      </c>
      <c r="R309" s="6" t="s">
        <v>1423</v>
      </c>
      <c r="S309" s="6">
        <f>VLOOKUP(N309,List!$F:$H,3,0)</f>
        <v>0</v>
      </c>
    </row>
    <row r="310">
      <c r="A310" s="1">
        <v>425</v>
      </c>
      <c r="B310" s="3" t="s">
        <v>764</v>
      </c>
      <c r="C310" s="3" t="s">
        <v>765</v>
      </c>
      <c r="D310" s="3" t="s">
        <v>717</v>
      </c>
      <c r="E310" s="3" t="s">
        <v>717</v>
      </c>
      <c r="F310" s="3" t="s">
        <v>21</v>
      </c>
      <c r="G310" s="3" t="s">
        <v>22</v>
      </c>
      <c r="H310" s="3" t="s">
        <v>24</v>
      </c>
      <c r="I310" s="3" t="s">
        <v>24</v>
      </c>
      <c r="J310" s="3" t="s">
        <v>25</v>
      </c>
      <c r="K310" s="1">
        <f t="shared" si="12"/>
        <v>4</v>
      </c>
      <c r="L310" s="1" t="str">
        <f>VLOOKUP(K310,List!$B$1:$D$10,2,0)</f>
        <v>Ingresos</v>
      </c>
      <c r="M310" s="1" t="str">
        <f>VLOOKUP(K310,List!$B$1:$D$10,3,0)</f>
        <v>Resultado</v>
      </c>
      <c r="N310" s="1" t="str">
        <f t="shared" si="13"/>
        <v>42</v>
      </c>
      <c r="O310" s="1" t="str">
        <f>VLOOKUP(N310,List!$F$1:$G$36,2,0)</f>
        <v xml:space="preserve">Otros Ingresos De Actividades Ordinarias</v>
      </c>
      <c r="P310" s="1" t="str">
        <f t="shared" si="14"/>
        <v>4210</v>
      </c>
      <c r="Q310" s="1" t="str">
        <f>VLOOKUP(P310,PUC!$A$7:$B$869,2,0)</f>
        <v>Financieros</v>
      </c>
      <c r="R310" s="6" t="s">
        <v>1423</v>
      </c>
      <c r="S310" s="6">
        <f>VLOOKUP(N310,List!$F:$H,3,0)</f>
        <v>0</v>
      </c>
    </row>
    <row r="311">
      <c r="A311" s="1">
        <v>427</v>
      </c>
      <c r="B311" s="3" t="s">
        <v>768</v>
      </c>
      <c r="C311" s="3" t="s">
        <v>767</v>
      </c>
      <c r="D311" s="3" t="s">
        <v>769</v>
      </c>
      <c r="E311" s="3" t="s">
        <v>717</v>
      </c>
      <c r="F311" s="3" t="s">
        <v>21</v>
      </c>
      <c r="G311" s="3" t="s">
        <v>22</v>
      </c>
      <c r="H311" s="3" t="s">
        <v>23</v>
      </c>
      <c r="I311" s="3" t="s">
        <v>24</v>
      </c>
      <c r="J311" s="3" t="s">
        <v>25</v>
      </c>
      <c r="K311" s="1">
        <f t="shared" si="12"/>
        <v>4</v>
      </c>
      <c r="L311" s="1" t="str">
        <f>VLOOKUP(K311,List!$B$1:$D$10,2,0)</f>
        <v>Ingresos</v>
      </c>
      <c r="M311" s="1" t="str">
        <f>VLOOKUP(K311,List!$B$1:$D$10,3,0)</f>
        <v>Resultado</v>
      </c>
      <c r="N311" s="1" t="str">
        <f t="shared" si="13"/>
        <v>42</v>
      </c>
      <c r="O311" s="1" t="str">
        <f>VLOOKUP(N311,List!$F$1:$G$36,2,0)</f>
        <v xml:space="preserve">Otros Ingresos De Actividades Ordinarias</v>
      </c>
      <c r="P311" s="1" t="str">
        <f t="shared" si="14"/>
        <v>4210</v>
      </c>
      <c r="Q311" s="1" t="str">
        <f>VLOOKUP(P311,PUC!$A$7:$B$869,2,0)</f>
        <v>Financieros</v>
      </c>
      <c r="R311" s="6" t="s">
        <v>1423</v>
      </c>
      <c r="S311" s="6">
        <f>VLOOKUP(N311,List!$F:$H,3,0)</f>
        <v>0</v>
      </c>
    </row>
    <row r="312">
      <c r="A312" s="1">
        <v>430</v>
      </c>
      <c r="B312" s="3" t="s">
        <v>774</v>
      </c>
      <c r="C312" s="3" t="s">
        <v>773</v>
      </c>
      <c r="D312" s="3" t="s">
        <v>717</v>
      </c>
      <c r="E312" s="3" t="s">
        <v>717</v>
      </c>
      <c r="F312" s="3" t="s">
        <v>21</v>
      </c>
      <c r="G312" s="3" t="s">
        <v>22</v>
      </c>
      <c r="H312" s="3" t="s">
        <v>23</v>
      </c>
      <c r="I312" s="3" t="s">
        <v>24</v>
      </c>
      <c r="J312" s="3" t="s">
        <v>25</v>
      </c>
      <c r="K312" s="1">
        <f t="shared" si="12"/>
        <v>4</v>
      </c>
      <c r="L312" s="1" t="str">
        <f>VLOOKUP(K312,List!$B$1:$D$10,2,0)</f>
        <v>Ingresos</v>
      </c>
      <c r="M312" s="1" t="str">
        <f>VLOOKUP(K312,List!$B$1:$D$10,3,0)</f>
        <v>Resultado</v>
      </c>
      <c r="N312" s="1" t="str">
        <f t="shared" si="13"/>
        <v>42</v>
      </c>
      <c r="O312" s="1" t="str">
        <f>VLOOKUP(N312,List!$F$1:$G$36,2,0)</f>
        <v xml:space="preserve">Otros Ingresos De Actividades Ordinarias</v>
      </c>
      <c r="P312" s="1" t="str">
        <f t="shared" si="14"/>
        <v>4218</v>
      </c>
      <c r="Q312" s="1" t="str">
        <f>VLOOKUP(P312,PUC!$A$7:$B$869,2,0)</f>
        <v xml:space="preserve">Ingresos método de participación</v>
      </c>
      <c r="R312" s="6" t="s">
        <v>1423</v>
      </c>
      <c r="S312" s="6">
        <f>VLOOKUP(N312,List!$F:$H,3,0)</f>
        <v>0</v>
      </c>
    </row>
    <row r="313">
      <c r="A313" s="1">
        <v>431</v>
      </c>
      <c r="B313" s="3" t="s">
        <v>775</v>
      </c>
      <c r="C313" s="3" t="s">
        <v>776</v>
      </c>
      <c r="D313" s="3" t="s">
        <v>717</v>
      </c>
      <c r="E313" s="3" t="s">
        <v>717</v>
      </c>
      <c r="F313" s="3" t="s">
        <v>21</v>
      </c>
      <c r="G313" s="3" t="s">
        <v>22</v>
      </c>
      <c r="H313" s="3" t="s">
        <v>24</v>
      </c>
      <c r="I313" s="3" t="s">
        <v>24</v>
      </c>
      <c r="J313" s="3" t="s">
        <v>25</v>
      </c>
      <c r="K313" s="1">
        <f t="shared" si="12"/>
        <v>4</v>
      </c>
      <c r="L313" s="1" t="str">
        <f>VLOOKUP(K313,List!$B$1:$D$10,2,0)</f>
        <v>Ingresos</v>
      </c>
      <c r="M313" s="1" t="str">
        <f>VLOOKUP(K313,List!$B$1:$D$10,3,0)</f>
        <v>Resultado</v>
      </c>
      <c r="N313" s="1" t="str">
        <f t="shared" si="13"/>
        <v>42</v>
      </c>
      <c r="O313" s="1" t="str">
        <f>VLOOKUP(N313,List!$F$1:$G$36,2,0)</f>
        <v xml:space="preserve">Otros Ingresos De Actividades Ordinarias</v>
      </c>
      <c r="P313" s="1" t="str">
        <f t="shared" si="14"/>
        <v>4218</v>
      </c>
      <c r="Q313" s="1" t="str">
        <f>VLOOKUP(P313,PUC!$A$7:$B$869,2,0)</f>
        <v xml:space="preserve">Ingresos método de participación</v>
      </c>
      <c r="R313" s="6" t="s">
        <v>1423</v>
      </c>
      <c r="S313" s="6">
        <f>VLOOKUP(N313,List!$F:$H,3,0)</f>
        <v>0</v>
      </c>
    </row>
    <row r="314">
      <c r="A314" s="1">
        <v>434</v>
      </c>
      <c r="B314" s="3" t="s">
        <v>781</v>
      </c>
      <c r="C314" s="3" t="s">
        <v>780</v>
      </c>
      <c r="D314" s="3" t="s">
        <v>717</v>
      </c>
      <c r="E314" s="3" t="s">
        <v>717</v>
      </c>
      <c r="F314" s="3" t="s">
        <v>21</v>
      </c>
      <c r="G314" s="3" t="s">
        <v>22</v>
      </c>
      <c r="H314" s="3" t="s">
        <v>23</v>
      </c>
      <c r="I314" s="3" t="s">
        <v>24</v>
      </c>
      <c r="J314" s="3" t="s">
        <v>25</v>
      </c>
      <c r="K314" s="1">
        <f t="shared" si="12"/>
        <v>4</v>
      </c>
      <c r="L314" s="1" t="str">
        <f>VLOOKUP(K314,List!$B$1:$D$10,2,0)</f>
        <v>Ingresos</v>
      </c>
      <c r="M314" s="1" t="str">
        <f>VLOOKUP(K314,List!$B$1:$D$10,3,0)</f>
        <v>Resultado</v>
      </c>
      <c r="N314" s="1" t="str">
        <f t="shared" si="13"/>
        <v>42</v>
      </c>
      <c r="O314" s="1" t="str">
        <f>VLOOKUP(N314,List!$F$1:$G$36,2,0)</f>
        <v xml:space="preserve">Otros Ingresos De Actividades Ordinarias</v>
      </c>
      <c r="P314" s="1" t="str">
        <f t="shared" si="14"/>
        <v>4295</v>
      </c>
      <c r="Q314" s="1" t="str">
        <f>VLOOKUP(P314,PUC!$A$7:$B$869,2,0)</f>
        <v>Diversos</v>
      </c>
      <c r="R314" s="6" t="s">
        <v>1423</v>
      </c>
      <c r="S314" s="6">
        <f>VLOOKUP(N314,List!$F:$H,3,0)</f>
        <v>0</v>
      </c>
    </row>
    <row r="315">
      <c r="A315" s="1">
        <v>435</v>
      </c>
      <c r="B315" s="3" t="s">
        <v>782</v>
      </c>
      <c r="C315" s="3" t="s">
        <v>783</v>
      </c>
      <c r="D315" s="3" t="s">
        <v>717</v>
      </c>
      <c r="E315" s="3" t="s">
        <v>717</v>
      </c>
      <c r="F315" s="3" t="s">
        <v>21</v>
      </c>
      <c r="G315" s="3" t="s">
        <v>22</v>
      </c>
      <c r="H315" s="3" t="s">
        <v>23</v>
      </c>
      <c r="I315" s="3" t="s">
        <v>24</v>
      </c>
      <c r="J315" s="3" t="s">
        <v>25</v>
      </c>
      <c r="K315" s="1">
        <f t="shared" si="12"/>
        <v>4</v>
      </c>
      <c r="L315" s="1" t="str">
        <f>VLOOKUP(K315,List!$B$1:$D$10,2,0)</f>
        <v>Ingresos</v>
      </c>
      <c r="M315" s="1" t="str">
        <f>VLOOKUP(K315,List!$B$1:$D$10,3,0)</f>
        <v>Resultado</v>
      </c>
      <c r="N315" s="1" t="str">
        <f t="shared" si="13"/>
        <v>42</v>
      </c>
      <c r="O315" s="1" t="str">
        <f>VLOOKUP(N315,List!$F$1:$G$36,2,0)</f>
        <v xml:space="preserve">Otros Ingresos De Actividades Ordinarias</v>
      </c>
      <c r="P315" s="1" t="str">
        <f t="shared" si="14"/>
        <v>4295</v>
      </c>
      <c r="Q315" s="1" t="str">
        <f>VLOOKUP(P315,PUC!$A$7:$B$869,2,0)</f>
        <v>Diversos</v>
      </c>
      <c r="R315" s="6" t="s">
        <v>1423</v>
      </c>
      <c r="S315" s="6">
        <f>VLOOKUP(N315,List!$F:$H,3,0)</f>
        <v>0</v>
      </c>
    </row>
    <row r="316">
      <c r="A316" s="1">
        <v>436</v>
      </c>
      <c r="B316" s="3" t="s">
        <v>784</v>
      </c>
      <c r="C316" s="3" t="s">
        <v>785</v>
      </c>
      <c r="D316" s="3" t="s">
        <v>717</v>
      </c>
      <c r="E316" s="3" t="s">
        <v>717</v>
      </c>
      <c r="F316" s="3" t="s">
        <v>21</v>
      </c>
      <c r="G316" s="3" t="s">
        <v>22</v>
      </c>
      <c r="H316" s="3" t="s">
        <v>24</v>
      </c>
      <c r="I316" s="3" t="s">
        <v>24</v>
      </c>
      <c r="J316" s="3" t="s">
        <v>25</v>
      </c>
      <c r="K316" s="1">
        <f t="shared" si="12"/>
        <v>4</v>
      </c>
      <c r="L316" s="1" t="str">
        <f>VLOOKUP(K316,List!$B$1:$D$10,2,0)</f>
        <v>Ingresos</v>
      </c>
      <c r="M316" s="1" t="str">
        <f>VLOOKUP(K316,List!$B$1:$D$10,3,0)</f>
        <v>Resultado</v>
      </c>
      <c r="N316" s="1" t="str">
        <f t="shared" si="13"/>
        <v>42</v>
      </c>
      <c r="O316" s="1" t="str">
        <f>VLOOKUP(N316,List!$F$1:$G$36,2,0)</f>
        <v xml:space="preserve">Otros Ingresos De Actividades Ordinarias</v>
      </c>
      <c r="P316" s="1" t="str">
        <f t="shared" si="14"/>
        <v>4295</v>
      </c>
      <c r="Q316" s="1" t="str">
        <f>VLOOKUP(P316,PUC!$A$7:$B$869,2,0)</f>
        <v>Diversos</v>
      </c>
      <c r="R316" s="6" t="s">
        <v>1423</v>
      </c>
      <c r="S316" s="6">
        <f>VLOOKUP(N316,List!$F:$H,3,0)</f>
        <v>0</v>
      </c>
    </row>
    <row r="317">
      <c r="A317" s="1">
        <v>438</v>
      </c>
      <c r="B317" s="3" t="s">
        <v>788</v>
      </c>
      <c r="C317" s="3" t="s">
        <v>787</v>
      </c>
      <c r="D317" s="3" t="s">
        <v>769</v>
      </c>
      <c r="E317" s="3" t="s">
        <v>717</v>
      </c>
      <c r="F317" s="3" t="s">
        <v>21</v>
      </c>
      <c r="G317" s="3" t="s">
        <v>22</v>
      </c>
      <c r="H317" s="3" t="s">
        <v>23</v>
      </c>
      <c r="I317" s="3" t="s">
        <v>24</v>
      </c>
      <c r="J317" s="3" t="s">
        <v>25</v>
      </c>
      <c r="K317" s="1">
        <f t="shared" si="12"/>
        <v>4</v>
      </c>
      <c r="L317" s="1" t="str">
        <f>VLOOKUP(K317,List!$B$1:$D$10,2,0)</f>
        <v>Ingresos</v>
      </c>
      <c r="M317" s="1" t="str">
        <f>VLOOKUP(K317,List!$B$1:$D$10,3,0)</f>
        <v>Resultado</v>
      </c>
      <c r="N317" s="1" t="str">
        <f t="shared" si="13"/>
        <v>42</v>
      </c>
      <c r="O317" s="1" t="str">
        <f>VLOOKUP(N317,List!$F$1:$G$36,2,0)</f>
        <v xml:space="preserve">Otros Ingresos De Actividades Ordinarias</v>
      </c>
      <c r="P317" s="1" t="str">
        <f t="shared" si="14"/>
        <v>4295</v>
      </c>
      <c r="Q317" s="1" t="str">
        <f>VLOOKUP(P317,PUC!$A$7:$B$869,2,0)</f>
        <v>Diversos</v>
      </c>
      <c r="R317" s="6" t="s">
        <v>1423</v>
      </c>
      <c r="S317" s="6">
        <f>VLOOKUP(N317,List!$F:$H,3,0)</f>
        <v>0</v>
      </c>
    </row>
    <row r="318">
      <c r="A318" s="1">
        <v>440</v>
      </c>
      <c r="B318" s="3" t="s">
        <v>791</v>
      </c>
      <c r="C318" s="3" t="s">
        <v>790</v>
      </c>
      <c r="D318" s="3" t="s">
        <v>717</v>
      </c>
      <c r="E318" s="3" t="s">
        <v>717</v>
      </c>
      <c r="F318" s="3" t="s">
        <v>21</v>
      </c>
      <c r="G318" s="3" t="s">
        <v>22</v>
      </c>
      <c r="H318" s="3" t="s">
        <v>23</v>
      </c>
      <c r="I318" s="3" t="s">
        <v>24</v>
      </c>
      <c r="J318" s="3" t="s">
        <v>25</v>
      </c>
      <c r="K318" s="1">
        <f t="shared" si="12"/>
        <v>4</v>
      </c>
      <c r="L318" s="1" t="str">
        <f>VLOOKUP(K318,List!$B$1:$D$10,2,0)</f>
        <v>Ingresos</v>
      </c>
      <c r="M318" s="1" t="str">
        <f>VLOOKUP(K318,List!$B$1:$D$10,3,0)</f>
        <v>Resultado</v>
      </c>
      <c r="N318" s="1" t="str">
        <f t="shared" si="13"/>
        <v>42</v>
      </c>
      <c r="O318" s="1" t="str">
        <f>VLOOKUP(N318,List!$F$1:$G$36,2,0)</f>
        <v xml:space="preserve">Otros Ingresos De Actividades Ordinarias</v>
      </c>
      <c r="P318" s="1" t="str">
        <f t="shared" si="14"/>
        <v>4295</v>
      </c>
      <c r="Q318" s="1" t="str">
        <f>VLOOKUP(P318,PUC!$A$7:$B$869,2,0)</f>
        <v>Diversos</v>
      </c>
      <c r="R318" s="6" t="s">
        <v>1423</v>
      </c>
      <c r="S318" s="6">
        <f>VLOOKUP(N318,List!$F:$H,3,0)</f>
        <v>0</v>
      </c>
    </row>
    <row r="319">
      <c r="A319" s="1">
        <v>441</v>
      </c>
      <c r="B319" s="3" t="s">
        <v>792</v>
      </c>
      <c r="C319" s="3" t="s">
        <v>793</v>
      </c>
      <c r="D319" s="3" t="s">
        <v>717</v>
      </c>
      <c r="E319" s="3" t="s">
        <v>717</v>
      </c>
      <c r="F319" s="3" t="s">
        <v>21</v>
      </c>
      <c r="G319" s="3" t="s">
        <v>22</v>
      </c>
      <c r="H319" s="3" t="s">
        <v>24</v>
      </c>
      <c r="I319" s="3" t="s">
        <v>24</v>
      </c>
      <c r="J319" s="3" t="s">
        <v>25</v>
      </c>
      <c r="K319" s="1">
        <f t="shared" si="12"/>
        <v>4</v>
      </c>
      <c r="L319" s="1" t="str">
        <f>VLOOKUP(K319,List!$B$1:$D$10,2,0)</f>
        <v>Ingresos</v>
      </c>
      <c r="M319" s="1" t="str">
        <f>VLOOKUP(K319,List!$B$1:$D$10,3,0)</f>
        <v>Resultado</v>
      </c>
      <c r="N319" s="1" t="str">
        <f t="shared" si="13"/>
        <v>42</v>
      </c>
      <c r="O319" s="1" t="str">
        <f>VLOOKUP(N319,List!$F$1:$G$36,2,0)</f>
        <v xml:space="preserve">Otros Ingresos De Actividades Ordinarias</v>
      </c>
      <c r="P319" s="1" t="str">
        <f t="shared" si="14"/>
        <v>4295</v>
      </c>
      <c r="Q319" s="1" t="str">
        <f>VLOOKUP(P319,PUC!$A$7:$B$869,2,0)</f>
        <v>Diversos</v>
      </c>
      <c r="R319" s="6" t="s">
        <v>1423</v>
      </c>
      <c r="S319" s="6">
        <f>VLOOKUP(N319,List!$F:$H,3,0)</f>
        <v>0</v>
      </c>
    </row>
    <row r="320">
      <c r="A320" s="1">
        <v>442</v>
      </c>
      <c r="B320" s="3" t="s">
        <v>794</v>
      </c>
      <c r="C320" s="3" t="s">
        <v>795</v>
      </c>
      <c r="D320" s="3" t="s">
        <v>769</v>
      </c>
      <c r="E320" s="3" t="s">
        <v>717</v>
      </c>
      <c r="F320" s="3" t="s">
        <v>21</v>
      </c>
      <c r="G320" s="3" t="s">
        <v>22</v>
      </c>
      <c r="H320" s="3" t="s">
        <v>23</v>
      </c>
      <c r="I320" s="3" t="s">
        <v>24</v>
      </c>
      <c r="J320" s="3" t="s">
        <v>25</v>
      </c>
      <c r="K320" s="1">
        <f t="shared" si="12"/>
        <v>4</v>
      </c>
      <c r="L320" s="1" t="str">
        <f>VLOOKUP(K320,List!$B$1:$D$10,2,0)</f>
        <v>Ingresos</v>
      </c>
      <c r="M320" s="1" t="str">
        <f>VLOOKUP(K320,List!$B$1:$D$10,3,0)</f>
        <v>Resultado</v>
      </c>
      <c r="N320" s="1" t="str">
        <f t="shared" si="13"/>
        <v>42</v>
      </c>
      <c r="O320" s="1" t="str">
        <f>VLOOKUP(N320,List!$F$1:$G$36,2,0)</f>
        <v xml:space="preserve">Otros Ingresos De Actividades Ordinarias</v>
      </c>
      <c r="P320" s="1" t="str">
        <f t="shared" si="14"/>
        <v>4295</v>
      </c>
      <c r="Q320" s="1" t="str">
        <f>VLOOKUP(P320,PUC!$A$7:$B$869,2,0)</f>
        <v>Diversos</v>
      </c>
      <c r="R320" s="6" t="s">
        <v>1423</v>
      </c>
      <c r="S320" s="6">
        <f>VLOOKUP(N320,List!$F:$H,3,0)</f>
        <v>0</v>
      </c>
    </row>
    <row r="321">
      <c r="A321" s="1">
        <v>446</v>
      </c>
      <c r="B321" s="3" t="s">
        <v>801</v>
      </c>
      <c r="C321" s="3" t="s">
        <v>802</v>
      </c>
      <c r="D321" s="3" t="s">
        <v>717</v>
      </c>
      <c r="E321" s="3" t="s">
        <v>717</v>
      </c>
      <c r="F321" s="3" t="s">
        <v>21</v>
      </c>
      <c r="G321" s="3" t="s">
        <v>22</v>
      </c>
      <c r="H321" s="3" t="s">
        <v>23</v>
      </c>
      <c r="I321" s="3" t="s">
        <v>24</v>
      </c>
      <c r="J321" s="3" t="s">
        <v>25</v>
      </c>
      <c r="K321" s="1">
        <f t="shared" si="12"/>
        <v>4</v>
      </c>
      <c r="L321" s="1" t="str">
        <f>VLOOKUP(K321,List!$B$1:$D$10,2,0)</f>
        <v>Ingresos</v>
      </c>
      <c r="M321" s="1" t="str">
        <f>VLOOKUP(K321,List!$B$1:$D$10,3,0)</f>
        <v>Resultado</v>
      </c>
      <c r="N321" s="1" t="str">
        <f t="shared" si="13"/>
        <v>43</v>
      </c>
      <c r="O321" s="1" t="str">
        <f>VLOOKUP(N321,List!$F$1:$G$36,2,0)</f>
        <v>Ganancias</v>
      </c>
      <c r="P321" s="1" t="str">
        <f t="shared" si="14"/>
        <v>4305</v>
      </c>
      <c r="Q321" s="1" t="str">
        <f>VLOOKUP(P321,PUC!$A$7:$B$869,2,0)</f>
        <v xml:space="preserve">Propiedad planta y equipo</v>
      </c>
      <c r="R321" s="6" t="s">
        <v>1423</v>
      </c>
      <c r="S321" s="6">
        <f>VLOOKUP(N321,List!$F:$H,3,0)</f>
        <v>0</v>
      </c>
    </row>
    <row r="322">
      <c r="A322" s="1">
        <v>447</v>
      </c>
      <c r="B322" s="3" t="s">
        <v>803</v>
      </c>
      <c r="C322" s="3" t="s">
        <v>804</v>
      </c>
      <c r="D322" s="3" t="s">
        <v>717</v>
      </c>
      <c r="E322" s="3" t="s">
        <v>717</v>
      </c>
      <c r="F322" s="3" t="s">
        <v>21</v>
      </c>
      <c r="G322" s="3" t="s">
        <v>22</v>
      </c>
      <c r="H322" s="3" t="s">
        <v>24</v>
      </c>
      <c r="I322" s="3" t="s">
        <v>24</v>
      </c>
      <c r="J322" s="3" t="s">
        <v>25</v>
      </c>
      <c r="K322" s="1">
        <f t="shared" ref="K322:K385" si="15">VALUE(LEFT(B322))</f>
        <v>4</v>
      </c>
      <c r="L322" s="1" t="str">
        <f>VLOOKUP(K322,List!$B$1:$D$10,2,0)</f>
        <v>Ingresos</v>
      </c>
      <c r="M322" s="1" t="str">
        <f>VLOOKUP(K322,List!$B$1:$D$10,3,0)</f>
        <v>Resultado</v>
      </c>
      <c r="N322" s="1" t="str">
        <f t="shared" ref="N322:N385" si="16">LEFT(B322,2)</f>
        <v>43</v>
      </c>
      <c r="O322" s="1" t="str">
        <f>VLOOKUP(N322,List!$F$1:$G$36,2,0)</f>
        <v>Ganancias</v>
      </c>
      <c r="P322" s="1" t="str">
        <f t="shared" ref="P322:P385" si="17">LEFT(B322,4)</f>
        <v>4305</v>
      </c>
      <c r="Q322" s="1" t="str">
        <f>VLOOKUP(P322,PUC!$A$7:$B$869,2,0)</f>
        <v xml:space="preserve">Propiedad planta y equipo</v>
      </c>
      <c r="R322" s="6" t="s">
        <v>1423</v>
      </c>
      <c r="S322" s="6">
        <f>VLOOKUP(N322,List!$F:$H,3,0)</f>
        <v>0</v>
      </c>
    </row>
    <row r="323">
      <c r="A323" s="1">
        <v>449</v>
      </c>
      <c r="B323" s="3" t="s">
        <v>807</v>
      </c>
      <c r="C323" s="3" t="s">
        <v>806</v>
      </c>
      <c r="D323" s="3" t="s">
        <v>717</v>
      </c>
      <c r="E323" s="3" t="s">
        <v>717</v>
      </c>
      <c r="F323" s="3" t="s">
        <v>21</v>
      </c>
      <c r="G323" s="3" t="s">
        <v>22</v>
      </c>
      <c r="H323" s="3" t="s">
        <v>23</v>
      </c>
      <c r="I323" s="3" t="s">
        <v>24</v>
      </c>
      <c r="J323" s="3" t="s">
        <v>25</v>
      </c>
      <c r="K323" s="1">
        <f t="shared" si="15"/>
        <v>4</v>
      </c>
      <c r="L323" s="1" t="str">
        <f>VLOOKUP(K323,List!$B$1:$D$10,2,0)</f>
        <v>Ingresos</v>
      </c>
      <c r="M323" s="1" t="str">
        <f>VLOOKUP(K323,List!$B$1:$D$10,3,0)</f>
        <v>Resultado</v>
      </c>
      <c r="N323" s="1" t="str">
        <f t="shared" si="16"/>
        <v>43</v>
      </c>
      <c r="O323" s="1" t="str">
        <f>VLOOKUP(N323,List!$F$1:$G$36,2,0)</f>
        <v>Ganancias</v>
      </c>
      <c r="P323" s="1" t="str">
        <f t="shared" si="17"/>
        <v>4305</v>
      </c>
      <c r="Q323" s="1" t="str">
        <f>VLOOKUP(P323,PUC!$A$7:$B$869,2,0)</f>
        <v xml:space="preserve">Propiedad planta y equipo</v>
      </c>
      <c r="R323" s="6" t="s">
        <v>1423</v>
      </c>
      <c r="S323" s="6">
        <f>VLOOKUP(N323,List!$F:$H,3,0)</f>
        <v>0</v>
      </c>
    </row>
    <row r="324">
      <c r="A324" s="1">
        <v>450</v>
      </c>
      <c r="B324" s="3" t="s">
        <v>808</v>
      </c>
      <c r="C324" s="3" t="s">
        <v>809</v>
      </c>
      <c r="D324" s="3" t="s">
        <v>717</v>
      </c>
      <c r="E324" s="3" t="s">
        <v>717</v>
      </c>
      <c r="F324" s="3" t="s">
        <v>21</v>
      </c>
      <c r="G324" s="3" t="s">
        <v>22</v>
      </c>
      <c r="H324" s="3" t="s">
        <v>24</v>
      </c>
      <c r="I324" s="3" t="s">
        <v>24</v>
      </c>
      <c r="J324" s="3" t="s">
        <v>25</v>
      </c>
      <c r="K324" s="1">
        <f t="shared" si="15"/>
        <v>4</v>
      </c>
      <c r="L324" s="1" t="str">
        <f>VLOOKUP(K324,List!$B$1:$D$10,2,0)</f>
        <v>Ingresos</v>
      </c>
      <c r="M324" s="1" t="str">
        <f>VLOOKUP(K324,List!$B$1:$D$10,3,0)</f>
        <v>Resultado</v>
      </c>
      <c r="N324" s="1" t="str">
        <f t="shared" si="16"/>
        <v>43</v>
      </c>
      <c r="O324" s="1" t="str">
        <f>VLOOKUP(N324,List!$F$1:$G$36,2,0)</f>
        <v>Ganancias</v>
      </c>
      <c r="P324" s="1" t="str">
        <f t="shared" si="17"/>
        <v>4305</v>
      </c>
      <c r="Q324" s="1" t="str">
        <f>VLOOKUP(P324,PUC!$A$7:$B$869,2,0)</f>
        <v xml:space="preserve">Propiedad planta y equipo</v>
      </c>
      <c r="R324" s="6" t="s">
        <v>1423</v>
      </c>
      <c r="S324" s="6">
        <f>VLOOKUP(N324,List!$F:$H,3,0)</f>
        <v>0</v>
      </c>
    </row>
    <row r="325">
      <c r="A325" s="1">
        <v>454</v>
      </c>
      <c r="B325" s="3" t="s">
        <v>815</v>
      </c>
      <c r="C325" s="3" t="s">
        <v>813</v>
      </c>
      <c r="D325" s="3" t="s">
        <v>717</v>
      </c>
      <c r="E325" s="3" t="s">
        <v>717</v>
      </c>
      <c r="F325" s="3" t="s">
        <v>21</v>
      </c>
      <c r="G325" s="3" t="s">
        <v>22</v>
      </c>
      <c r="H325" s="3" t="s">
        <v>23</v>
      </c>
      <c r="I325" s="3" t="s">
        <v>24</v>
      </c>
      <c r="J325" s="3" t="s">
        <v>25</v>
      </c>
      <c r="K325" s="1">
        <f t="shared" si="15"/>
        <v>4</v>
      </c>
      <c r="L325" s="1" t="str">
        <f>VLOOKUP(K325,List!$B$1:$D$10,2,0)</f>
        <v>Ingresos</v>
      </c>
      <c r="M325" s="1" t="str">
        <f>VLOOKUP(K325,List!$B$1:$D$10,3,0)</f>
        <v>Resultado</v>
      </c>
      <c r="N325" s="1" t="str">
        <f t="shared" si="16"/>
        <v>44</v>
      </c>
      <c r="O325" s="1" t="str">
        <f>VLOOKUP(N325,List!$F$1:$G$36,2,0)</f>
        <v xml:space="preserve">Ingresos Fiscales</v>
      </c>
      <c r="P325" s="1" t="str">
        <f t="shared" si="17"/>
        <v>4405</v>
      </c>
      <c r="Q325" s="1" t="str">
        <f>VLOOKUP(P325,PUC!$A$7:$B$869,2,0)</f>
        <v xml:space="preserve">Ingresos por ganancia ocasional</v>
      </c>
      <c r="R325" s="6" t="s">
        <v>1423</v>
      </c>
      <c r="S325" s="6">
        <f>VLOOKUP(N325,List!$F:$H,3,0)</f>
        <v>0</v>
      </c>
    </row>
    <row r="326">
      <c r="A326" s="1">
        <v>455</v>
      </c>
      <c r="B326" s="3" t="s">
        <v>816</v>
      </c>
      <c r="C326" s="3" t="s">
        <v>817</v>
      </c>
      <c r="D326" s="3" t="s">
        <v>717</v>
      </c>
      <c r="E326" s="3" t="s">
        <v>717</v>
      </c>
      <c r="F326" s="3" t="s">
        <v>21</v>
      </c>
      <c r="G326" s="3" t="s">
        <v>22</v>
      </c>
      <c r="H326" s="3" t="s">
        <v>24</v>
      </c>
      <c r="I326" s="3" t="s">
        <v>24</v>
      </c>
      <c r="J326" s="3" t="s">
        <v>25</v>
      </c>
      <c r="K326" s="1">
        <f t="shared" si="15"/>
        <v>4</v>
      </c>
      <c r="L326" s="1" t="str">
        <f>VLOOKUP(K326,List!$B$1:$D$10,2,0)</f>
        <v>Ingresos</v>
      </c>
      <c r="M326" s="1" t="str">
        <f>VLOOKUP(K326,List!$B$1:$D$10,3,0)</f>
        <v>Resultado</v>
      </c>
      <c r="N326" s="1" t="str">
        <f t="shared" si="16"/>
        <v>44</v>
      </c>
      <c r="O326" s="1" t="str">
        <f>VLOOKUP(N326,List!$F$1:$G$36,2,0)</f>
        <v xml:space="preserve">Ingresos Fiscales</v>
      </c>
      <c r="P326" s="1" t="str">
        <f t="shared" si="17"/>
        <v>4405</v>
      </c>
      <c r="Q326" s="1" t="str">
        <f>VLOOKUP(P326,PUC!$A$7:$B$869,2,0)</f>
        <v xml:space="preserve">Ingresos por ganancia ocasional</v>
      </c>
      <c r="R326" s="6" t="s">
        <v>1423</v>
      </c>
      <c r="S326" s="6">
        <f>VLOOKUP(N326,List!$F:$H,3,0)</f>
        <v>0</v>
      </c>
    </row>
    <row r="327">
      <c r="A327" s="1">
        <v>458</v>
      </c>
      <c r="B327" s="3" t="s">
        <v>822</v>
      </c>
      <c r="C327" s="3" t="s">
        <v>823</v>
      </c>
      <c r="D327" s="3" t="s">
        <v>717</v>
      </c>
      <c r="E327" s="3" t="s">
        <v>717</v>
      </c>
      <c r="F327" s="3" t="s">
        <v>21</v>
      </c>
      <c r="G327" s="3" t="s">
        <v>22</v>
      </c>
      <c r="H327" s="3" t="s">
        <v>23</v>
      </c>
      <c r="I327" s="3" t="s">
        <v>24</v>
      </c>
      <c r="J327" s="3" t="s">
        <v>25</v>
      </c>
      <c r="K327" s="1">
        <f t="shared" si="15"/>
        <v>4</v>
      </c>
      <c r="L327" s="1" t="str">
        <f>VLOOKUP(K327,List!$B$1:$D$10,2,0)</f>
        <v>Ingresos</v>
      </c>
      <c r="M327" s="1" t="str">
        <f>VLOOKUP(K327,List!$B$1:$D$10,3,0)</f>
        <v>Resultado</v>
      </c>
      <c r="N327" s="1" t="str">
        <f t="shared" si="16"/>
        <v>44</v>
      </c>
      <c r="O327" s="1" t="str">
        <f>VLOOKUP(N327,List!$F$1:$G$36,2,0)</f>
        <v xml:space="preserve">Ingresos Fiscales</v>
      </c>
      <c r="P327" s="1" t="str">
        <f t="shared" si="17"/>
        <v>4410</v>
      </c>
      <c r="Q327" s="1" t="str">
        <f>VLOOKUP(P327,PUC!$A$7:$B$869,2,0)</f>
        <v xml:space="preserve">Ingresos renta ordinaria</v>
      </c>
      <c r="R327" s="6" t="s">
        <v>1423</v>
      </c>
      <c r="S327" s="6">
        <f>VLOOKUP(N327,List!$F:$H,3,0)</f>
        <v>0</v>
      </c>
    </row>
    <row r="328">
      <c r="A328" s="1">
        <v>459</v>
      </c>
      <c r="B328" s="3" t="s">
        <v>824</v>
      </c>
      <c r="C328" s="3" t="s">
        <v>825</v>
      </c>
      <c r="D328" s="3" t="s">
        <v>717</v>
      </c>
      <c r="E328" s="3" t="s">
        <v>717</v>
      </c>
      <c r="F328" s="3" t="s">
        <v>21</v>
      </c>
      <c r="G328" s="3" t="s">
        <v>22</v>
      </c>
      <c r="H328" s="3" t="s">
        <v>24</v>
      </c>
      <c r="I328" s="3" t="s">
        <v>24</v>
      </c>
      <c r="J328" s="3" t="s">
        <v>25</v>
      </c>
      <c r="K328" s="1">
        <f t="shared" si="15"/>
        <v>4</v>
      </c>
      <c r="L328" s="1" t="str">
        <f>VLOOKUP(K328,List!$B$1:$D$10,2,0)</f>
        <v>Ingresos</v>
      </c>
      <c r="M328" s="1" t="str">
        <f>VLOOKUP(K328,List!$B$1:$D$10,3,0)</f>
        <v>Resultado</v>
      </c>
      <c r="N328" s="1" t="str">
        <f t="shared" si="16"/>
        <v>44</v>
      </c>
      <c r="O328" s="1" t="str">
        <f>VLOOKUP(N328,List!$F$1:$G$36,2,0)</f>
        <v xml:space="preserve">Ingresos Fiscales</v>
      </c>
      <c r="P328" s="1" t="str">
        <f t="shared" si="17"/>
        <v>4410</v>
      </c>
      <c r="Q328" s="1" t="str">
        <f>VLOOKUP(P328,PUC!$A$7:$B$869,2,0)</f>
        <v xml:space="preserve">Ingresos renta ordinaria</v>
      </c>
      <c r="R328" s="6" t="s">
        <v>1423</v>
      </c>
      <c r="S328" s="6">
        <f>VLOOKUP(N328,List!$F:$H,3,0)</f>
        <v>0</v>
      </c>
    </row>
    <row r="329">
      <c r="A329" s="1">
        <v>192</v>
      </c>
      <c r="B329" s="3" t="s">
        <v>364</v>
      </c>
      <c r="C329" s="3" t="s">
        <v>365</v>
      </c>
      <c r="D329" s="3" t="s">
        <v>366</v>
      </c>
      <c r="E329" s="3" t="s">
        <v>357</v>
      </c>
      <c r="F329" s="3" t="s">
        <v>21</v>
      </c>
      <c r="G329" s="3" t="s">
        <v>22</v>
      </c>
      <c r="H329" s="3" t="s">
        <v>23</v>
      </c>
      <c r="I329" s="3" t="s">
        <v>24</v>
      </c>
      <c r="J329" s="3" t="s">
        <v>25</v>
      </c>
      <c r="K329" s="1">
        <f t="shared" si="15"/>
        <v>2</v>
      </c>
      <c r="L329" s="1" t="str">
        <f>VLOOKUP(K329,List!$B$1:$D$10,2,0)</f>
        <v>Pasivo</v>
      </c>
      <c r="M329" s="1" t="str">
        <f>VLOOKUP(K329,List!$B$1:$D$10,3,0)</f>
        <v>Balance</v>
      </c>
      <c r="N329" s="1" t="str">
        <f t="shared" si="16"/>
        <v>21</v>
      </c>
      <c r="O329" s="1" t="str">
        <f>VLOOKUP(N329,List!$F$1:$G$36,2,0)</f>
        <v xml:space="preserve">Pasivos Financieros</v>
      </c>
      <c r="P329" s="1" t="str">
        <f t="shared" si="17"/>
        <v>2105</v>
      </c>
      <c r="Q329" s="1" t="str">
        <f>VLOOKUP(P329,PUC!$A$7:$B$869,2,0)</f>
        <v xml:space="preserve">Bancos nacionales</v>
      </c>
      <c r="R329" s="6" t="s">
        <v>1422</v>
      </c>
      <c r="S329" s="6" t="str">
        <f>VLOOKUP(N329,List!$F:$H,3,0)</f>
        <v xml:space="preserve">Corto Termino</v>
      </c>
    </row>
    <row r="330">
      <c r="A330" s="1">
        <v>193</v>
      </c>
      <c r="B330" s="3" t="s">
        <v>367</v>
      </c>
      <c r="C330" s="3" t="s">
        <v>368</v>
      </c>
      <c r="D330" s="3" t="s">
        <v>366</v>
      </c>
      <c r="E330" s="3" t="s">
        <v>357</v>
      </c>
      <c r="F330" s="3" t="s">
        <v>21</v>
      </c>
      <c r="G330" s="3" t="s">
        <v>22</v>
      </c>
      <c r="H330" s="3" t="s">
        <v>23</v>
      </c>
      <c r="I330" s="3" t="s">
        <v>24</v>
      </c>
      <c r="J330" s="3" t="s">
        <v>25</v>
      </c>
      <c r="K330" s="1">
        <f t="shared" si="15"/>
        <v>2</v>
      </c>
      <c r="L330" s="1" t="str">
        <f>VLOOKUP(K330,List!$B$1:$D$10,2,0)</f>
        <v>Pasivo</v>
      </c>
      <c r="M330" s="1" t="str">
        <f>VLOOKUP(K330,List!$B$1:$D$10,3,0)</f>
        <v>Balance</v>
      </c>
      <c r="N330" s="1" t="str">
        <f t="shared" si="16"/>
        <v>21</v>
      </c>
      <c r="O330" s="1" t="str">
        <f>VLOOKUP(N330,List!$F$1:$G$36,2,0)</f>
        <v xml:space="preserve">Pasivos Financieros</v>
      </c>
      <c r="P330" s="1" t="str">
        <f t="shared" si="17"/>
        <v>2105</v>
      </c>
      <c r="Q330" s="1" t="str">
        <f>VLOOKUP(P330,PUC!$A$7:$B$869,2,0)</f>
        <v xml:space="preserve">Bancos nacionales</v>
      </c>
      <c r="R330" s="6" t="s">
        <v>1422</v>
      </c>
      <c r="S330" s="6" t="str">
        <f>VLOOKUP(N330,List!$F:$H,3,0)</f>
        <v xml:space="preserve">Corto Termino</v>
      </c>
    </row>
    <row r="331">
      <c r="A331" s="1">
        <v>196</v>
      </c>
      <c r="B331" s="3" t="s">
        <v>372</v>
      </c>
      <c r="C331" s="3" t="s">
        <v>108</v>
      </c>
      <c r="D331" s="3" t="s">
        <v>366</v>
      </c>
      <c r="E331" s="3" t="s">
        <v>357</v>
      </c>
      <c r="F331" s="3" t="s">
        <v>21</v>
      </c>
      <c r="G331" s="3" t="s">
        <v>22</v>
      </c>
      <c r="H331" s="3" t="s">
        <v>23</v>
      </c>
      <c r="I331" s="3" t="s">
        <v>24</v>
      </c>
      <c r="J331" s="3" t="s">
        <v>25</v>
      </c>
      <c r="K331" s="1">
        <f t="shared" si="15"/>
        <v>2</v>
      </c>
      <c r="L331" s="1" t="str">
        <f>VLOOKUP(K331,List!$B$1:$D$10,2,0)</f>
        <v>Pasivo</v>
      </c>
      <c r="M331" s="1" t="str">
        <f>VLOOKUP(K331,List!$B$1:$D$10,3,0)</f>
        <v>Balance</v>
      </c>
      <c r="N331" s="1" t="str">
        <f t="shared" si="16"/>
        <v>21</v>
      </c>
      <c r="O331" s="1" t="str">
        <f>VLOOKUP(N331,List!$F$1:$G$36,2,0)</f>
        <v xml:space="preserve">Pasivos Financieros</v>
      </c>
      <c r="P331" s="1" t="str">
        <f t="shared" si="17"/>
        <v>2110</v>
      </c>
      <c r="Q331" s="1" t="str">
        <f>VLOOKUP(P331,PUC!$A$7:$B$869,2,0)</f>
        <v xml:space="preserve">Depósitos recibidos</v>
      </c>
      <c r="R331" s="6" t="s">
        <v>1422</v>
      </c>
      <c r="S331" s="6" t="str">
        <f>VLOOKUP(N331,List!$F:$H,3,0)</f>
        <v xml:space="preserve">Corto Termino</v>
      </c>
    </row>
    <row r="332">
      <c r="A332" s="1">
        <v>200</v>
      </c>
      <c r="B332" s="3" t="s">
        <v>378</v>
      </c>
      <c r="C332" s="3" t="s">
        <v>376</v>
      </c>
      <c r="D332" s="3" t="s">
        <v>379</v>
      </c>
      <c r="E332" s="3" t="s">
        <v>357</v>
      </c>
      <c r="F332" s="3" t="s">
        <v>21</v>
      </c>
      <c r="G332" s="3" t="s">
        <v>22</v>
      </c>
      <c r="H332" s="3" t="s">
        <v>23</v>
      </c>
      <c r="I332" s="3" t="s">
        <v>24</v>
      </c>
      <c r="J332" s="3" t="s">
        <v>25</v>
      </c>
      <c r="K332" s="1">
        <f t="shared" si="15"/>
        <v>2</v>
      </c>
      <c r="L332" s="1" t="str">
        <f>VLOOKUP(K332,List!$B$1:$D$10,2,0)</f>
        <v>Pasivo</v>
      </c>
      <c r="M332" s="1" t="str">
        <f>VLOOKUP(K332,List!$B$1:$D$10,3,0)</f>
        <v>Balance</v>
      </c>
      <c r="N332" s="1" t="str">
        <f t="shared" si="16"/>
        <v>22</v>
      </c>
      <c r="O332" s="1" t="str">
        <f>VLOOKUP(N332,List!$F$1:$G$36,2,0)</f>
        <v>Proveedores</v>
      </c>
      <c r="P332" s="1" t="str">
        <f t="shared" si="17"/>
        <v>2205</v>
      </c>
      <c r="Q332" s="1" t="str">
        <f>VLOOKUP(P332,PUC!$A$7:$B$869,2,0)</f>
        <v xml:space="preserve">Proveedores nacionales</v>
      </c>
      <c r="R332" s="6" t="s">
        <v>1422</v>
      </c>
      <c r="S332" s="6" t="str">
        <f>VLOOKUP(N332,List!$F:$H,3,0)</f>
        <v xml:space="preserve">Corto Termino</v>
      </c>
    </row>
    <row r="333">
      <c r="A333" s="1">
        <v>203</v>
      </c>
      <c r="B333" s="3" t="s">
        <v>383</v>
      </c>
      <c r="C333" s="3" t="s">
        <v>381</v>
      </c>
      <c r="D333" s="3" t="s">
        <v>379</v>
      </c>
      <c r="E333" s="3" t="s">
        <v>357</v>
      </c>
      <c r="F333" s="3" t="s">
        <v>21</v>
      </c>
      <c r="G333" s="3" t="s">
        <v>22</v>
      </c>
      <c r="H333" s="3" t="s">
        <v>23</v>
      </c>
      <c r="I333" s="3" t="s">
        <v>24</v>
      </c>
      <c r="J333" s="3" t="s">
        <v>25</v>
      </c>
      <c r="K333" s="1">
        <f t="shared" si="15"/>
        <v>2</v>
      </c>
      <c r="L333" s="1" t="str">
        <f>VLOOKUP(K333,List!$B$1:$D$10,2,0)</f>
        <v>Pasivo</v>
      </c>
      <c r="M333" s="1" t="str">
        <f>VLOOKUP(K333,List!$B$1:$D$10,3,0)</f>
        <v>Balance</v>
      </c>
      <c r="N333" s="1" t="str">
        <f t="shared" si="16"/>
        <v>22</v>
      </c>
      <c r="O333" s="1" t="str">
        <f>VLOOKUP(N333,List!$F$1:$G$36,2,0)</f>
        <v>Proveedores</v>
      </c>
      <c r="P333" s="1" t="str">
        <f t="shared" si="17"/>
        <v>2210</v>
      </c>
      <c r="Q333" s="1" t="str">
        <f>VLOOKUP(P333,PUC!$A$7:$B$869,2,0)</f>
        <v xml:space="preserve">Proveedores del exterior</v>
      </c>
      <c r="R333" s="6" t="s">
        <v>1422</v>
      </c>
      <c r="S333" s="6" t="str">
        <f>VLOOKUP(N333,List!$F:$H,3,0)</f>
        <v xml:space="preserve">Corto Termino</v>
      </c>
    </row>
    <row r="334">
      <c r="A334" s="1">
        <v>207</v>
      </c>
      <c r="B334" s="3" t="s">
        <v>389</v>
      </c>
      <c r="C334" s="3" t="s">
        <v>387</v>
      </c>
      <c r="D334" s="3" t="s">
        <v>379</v>
      </c>
      <c r="E334" s="3" t="s">
        <v>357</v>
      </c>
      <c r="F334" s="3" t="s">
        <v>21</v>
      </c>
      <c r="G334" s="3" t="s">
        <v>22</v>
      </c>
      <c r="H334" s="3" t="s">
        <v>23</v>
      </c>
      <c r="I334" s="3" t="s">
        <v>24</v>
      </c>
      <c r="J334" s="3" t="s">
        <v>25</v>
      </c>
      <c r="K334" s="1">
        <f t="shared" si="15"/>
        <v>2</v>
      </c>
      <c r="L334" s="1" t="str">
        <f>VLOOKUP(K334,List!$B$1:$D$10,2,0)</f>
        <v>Pasivo</v>
      </c>
      <c r="M334" s="1" t="str">
        <f>VLOOKUP(K334,List!$B$1:$D$10,3,0)</f>
        <v>Balance</v>
      </c>
      <c r="N334" s="1" t="str">
        <f t="shared" si="16"/>
        <v>23</v>
      </c>
      <c r="O334" s="1" t="str">
        <f>VLOOKUP(N334,List!$F$1:$G$36,2,0)</f>
        <v xml:space="preserve">Acreedores Comerciales Y Otras Cuentas Por Pagar</v>
      </c>
      <c r="P334" s="1" t="str">
        <f t="shared" si="17"/>
        <v>2305</v>
      </c>
      <c r="Q334" s="1" t="str">
        <f>VLOOKUP(P334,PUC!$A$7:$B$869,2,0)</f>
        <v xml:space="preserve">Cuentas corrientes comerciales</v>
      </c>
      <c r="R334" s="6" t="s">
        <v>1422</v>
      </c>
      <c r="S334" s="6" t="str">
        <f>VLOOKUP(N334,List!$F:$H,3,0)</f>
        <v xml:space="preserve">Corto Termino</v>
      </c>
    </row>
    <row r="335">
      <c r="A335" s="1">
        <v>210</v>
      </c>
      <c r="B335" s="3" t="s">
        <v>394</v>
      </c>
      <c r="C335" s="3" t="s">
        <v>393</v>
      </c>
      <c r="D335" s="3" t="s">
        <v>379</v>
      </c>
      <c r="E335" s="3" t="s">
        <v>357</v>
      </c>
      <c r="F335" s="3" t="s">
        <v>21</v>
      </c>
      <c r="G335" s="3" t="s">
        <v>22</v>
      </c>
      <c r="H335" s="3" t="s">
        <v>23</v>
      </c>
      <c r="I335" s="3" t="s">
        <v>24</v>
      </c>
      <c r="J335" s="3" t="s">
        <v>25</v>
      </c>
      <c r="K335" s="1">
        <f t="shared" si="15"/>
        <v>2</v>
      </c>
      <c r="L335" s="1" t="str">
        <f>VLOOKUP(K335,List!$B$1:$D$10,2,0)</f>
        <v>Pasivo</v>
      </c>
      <c r="M335" s="1" t="str">
        <f>VLOOKUP(K335,List!$B$1:$D$10,3,0)</f>
        <v>Balance</v>
      </c>
      <c r="N335" s="1" t="str">
        <f t="shared" si="16"/>
        <v>23</v>
      </c>
      <c r="O335" s="1" t="str">
        <f>VLOOKUP(N335,List!$F$1:$G$36,2,0)</f>
        <v xml:space="preserve">Acreedores Comerciales Y Otras Cuentas Por Pagar</v>
      </c>
      <c r="P335" s="1" t="str">
        <f t="shared" si="17"/>
        <v>2335</v>
      </c>
      <c r="Q335" s="1" t="str">
        <f>VLOOKUP(P335,PUC!$A$7:$B$869,2,0)</f>
        <v xml:space="preserve">Costos y gastos por pagar</v>
      </c>
      <c r="R335" s="6" t="s">
        <v>1422</v>
      </c>
      <c r="S335" s="6" t="str">
        <f>VLOOKUP(N335,List!$F:$H,3,0)</f>
        <v xml:space="preserve">Corto Termino</v>
      </c>
    </row>
    <row r="336">
      <c r="A336" s="1">
        <v>212</v>
      </c>
      <c r="B336" s="3" t="s">
        <v>396</v>
      </c>
      <c r="C336" s="3" t="s">
        <v>108</v>
      </c>
      <c r="D336" s="3" t="s">
        <v>379</v>
      </c>
      <c r="E336" s="3" t="s">
        <v>357</v>
      </c>
      <c r="F336" s="3" t="s">
        <v>21</v>
      </c>
      <c r="G336" s="3" t="s">
        <v>95</v>
      </c>
      <c r="H336" s="3" t="s">
        <v>23</v>
      </c>
      <c r="I336" s="3" t="s">
        <v>24</v>
      </c>
      <c r="J336" s="3" t="s">
        <v>25</v>
      </c>
      <c r="K336" s="1">
        <f t="shared" si="15"/>
        <v>2</v>
      </c>
      <c r="L336" s="1" t="str">
        <f>VLOOKUP(K336,List!$B$1:$D$10,2,0)</f>
        <v>Pasivo</v>
      </c>
      <c r="M336" s="1" t="str">
        <f>VLOOKUP(K336,List!$B$1:$D$10,3,0)</f>
        <v>Balance</v>
      </c>
      <c r="N336" s="1" t="str">
        <f t="shared" si="16"/>
        <v>23</v>
      </c>
      <c r="O336" s="1" t="str">
        <f>VLOOKUP(N336,List!$F$1:$G$36,2,0)</f>
        <v xml:space="preserve">Acreedores Comerciales Y Otras Cuentas Por Pagar</v>
      </c>
      <c r="P336" s="1" t="str">
        <f t="shared" si="17"/>
        <v>2335</v>
      </c>
      <c r="Q336" s="1" t="str">
        <f>VLOOKUP(P336,PUC!$A$7:$B$869,2,0)</f>
        <v xml:space="preserve">Costos y gastos por pagar</v>
      </c>
      <c r="R336" s="6" t="s">
        <v>1422</v>
      </c>
      <c r="S336" s="6" t="str">
        <f>VLOOKUP(N336,List!$F:$H,3,0)</f>
        <v xml:space="preserve">Corto Termino</v>
      </c>
    </row>
    <row r="337">
      <c r="A337" s="1">
        <v>213</v>
      </c>
      <c r="B337" s="3" t="s">
        <v>397</v>
      </c>
      <c r="C337" s="3" t="s">
        <v>398</v>
      </c>
      <c r="D337" s="3" t="s">
        <v>379</v>
      </c>
      <c r="E337" s="3" t="s">
        <v>357</v>
      </c>
      <c r="F337" s="3" t="s">
        <v>21</v>
      </c>
      <c r="G337" s="3" t="s">
        <v>95</v>
      </c>
      <c r="H337" s="3" t="s">
        <v>23</v>
      </c>
      <c r="I337" s="3" t="s">
        <v>24</v>
      </c>
      <c r="J337" s="3" t="s">
        <v>25</v>
      </c>
      <c r="K337" s="1">
        <f t="shared" si="15"/>
        <v>2</v>
      </c>
      <c r="L337" s="1" t="str">
        <f>VLOOKUP(K337,List!$B$1:$D$10,2,0)</f>
        <v>Pasivo</v>
      </c>
      <c r="M337" s="1" t="str">
        <f>VLOOKUP(K337,List!$B$1:$D$10,3,0)</f>
        <v>Balance</v>
      </c>
      <c r="N337" s="1" t="str">
        <f t="shared" si="16"/>
        <v>23</v>
      </c>
      <c r="O337" s="1" t="str">
        <f>VLOOKUP(N337,List!$F$1:$G$36,2,0)</f>
        <v xml:space="preserve">Acreedores Comerciales Y Otras Cuentas Por Pagar</v>
      </c>
      <c r="P337" s="1" t="str">
        <f t="shared" si="17"/>
        <v>2335</v>
      </c>
      <c r="Q337" s="1" t="str">
        <f>VLOOKUP(P337,PUC!$A$7:$B$869,2,0)</f>
        <v xml:space="preserve">Costos y gastos por pagar</v>
      </c>
      <c r="R337" s="6" t="s">
        <v>1422</v>
      </c>
      <c r="S337" s="6" t="str">
        <f>VLOOKUP(N337,List!$F:$H,3,0)</f>
        <v xml:space="preserve">Corto Termino</v>
      </c>
    </row>
    <row r="338" s="5" customFormat="1">
      <c r="A338" s="5">
        <v>213</v>
      </c>
      <c r="B338" s="3" t="s">
        <v>1417</v>
      </c>
      <c r="C338" s="3" t="s">
        <v>1418</v>
      </c>
      <c r="D338" s="3" t="s">
        <v>379</v>
      </c>
      <c r="E338" s="3" t="s">
        <v>357</v>
      </c>
      <c r="F338" s="3" t="s">
        <v>21</v>
      </c>
      <c r="G338" s="3" t="s">
        <v>95</v>
      </c>
      <c r="H338" s="3" t="s">
        <v>23</v>
      </c>
      <c r="I338" s="3" t="s">
        <v>24</v>
      </c>
      <c r="J338" s="3" t="s">
        <v>25</v>
      </c>
      <c r="K338" s="5">
        <f t="shared" si="15"/>
        <v>2</v>
      </c>
      <c r="L338" s="5" t="str">
        <f>VLOOKUP(K338,List!$B$1:$D$10,2,0)</f>
        <v>Pasivo</v>
      </c>
      <c r="M338" s="5" t="str">
        <f>VLOOKUP(K338,List!$B$1:$D$10,3,0)</f>
        <v>Balance</v>
      </c>
      <c r="N338" s="5" t="str">
        <f t="shared" si="16"/>
        <v>23</v>
      </c>
      <c r="O338" s="5" t="str">
        <f>VLOOKUP(N338,List!$F$1:$G$36,2,0)</f>
        <v xml:space="preserve">Acreedores Comerciales Y Otras Cuentas Por Pagar</v>
      </c>
      <c r="P338" s="5" t="str">
        <f t="shared" si="17"/>
        <v>2335</v>
      </c>
      <c r="Q338" s="5" t="str">
        <f>VLOOKUP(P338,PUC!$A$7:$B$869,2,0)</f>
        <v xml:space="preserve">Costos y gastos por pagar</v>
      </c>
      <c r="R338" s="6" t="s">
        <v>1422</v>
      </c>
      <c r="S338" s="6" t="str">
        <f>VLOOKUP(N338,List!$F:$H,3,0)</f>
        <v xml:space="preserve">Corto Termino</v>
      </c>
    </row>
    <row r="339">
      <c r="A339" s="1">
        <v>216</v>
      </c>
      <c r="B339" s="3" t="s">
        <v>403</v>
      </c>
      <c r="C339" s="3" t="s">
        <v>404</v>
      </c>
      <c r="D339" s="3" t="s">
        <v>405</v>
      </c>
      <c r="E339" s="3" t="s">
        <v>357</v>
      </c>
      <c r="F339" s="3" t="s">
        <v>21</v>
      </c>
      <c r="G339" s="3" t="s">
        <v>22</v>
      </c>
      <c r="H339" s="3" t="s">
        <v>23</v>
      </c>
      <c r="I339" s="3" t="s">
        <v>24</v>
      </c>
      <c r="J339" s="3" t="s">
        <v>25</v>
      </c>
      <c r="K339" s="1">
        <f t="shared" si="15"/>
        <v>2</v>
      </c>
      <c r="L339" s="1" t="str">
        <f>VLOOKUP(K339,List!$B$1:$D$10,2,0)</f>
        <v>Pasivo</v>
      </c>
      <c r="M339" s="1" t="str">
        <f>VLOOKUP(K339,List!$B$1:$D$10,3,0)</f>
        <v>Balance</v>
      </c>
      <c r="N339" s="1" t="str">
        <f t="shared" si="16"/>
        <v>23</v>
      </c>
      <c r="O339" s="1" t="str">
        <f>VLOOKUP(N339,List!$F$1:$G$36,2,0)</f>
        <v xml:space="preserve">Acreedores Comerciales Y Otras Cuentas Por Pagar</v>
      </c>
      <c r="P339" s="1" t="str">
        <f t="shared" si="17"/>
        <v>2355</v>
      </c>
      <c r="Q339" s="1" t="str">
        <f>VLOOKUP(P339,PUC!$A$7:$B$869,2,0)</f>
        <v xml:space="preserve">DEUDAS CON ACCIONISTAS O SOCIOS                   </v>
      </c>
      <c r="R339" s="6" t="s">
        <v>1422</v>
      </c>
      <c r="S339" s="6" t="str">
        <f>VLOOKUP(N339,List!$F:$H,3,0)</f>
        <v xml:space="preserve">Corto Termino</v>
      </c>
    </row>
    <row r="340">
      <c r="A340" s="1">
        <v>219</v>
      </c>
      <c r="B340" s="3" t="s">
        <v>410</v>
      </c>
      <c r="C340" s="3" t="s">
        <v>409</v>
      </c>
      <c r="D340" s="3" t="s">
        <v>379</v>
      </c>
      <c r="E340" s="3" t="s">
        <v>357</v>
      </c>
      <c r="F340" s="3" t="s">
        <v>21</v>
      </c>
      <c r="G340" s="3" t="s">
        <v>22</v>
      </c>
      <c r="H340" s="3" t="s">
        <v>23</v>
      </c>
      <c r="I340" s="3" t="s">
        <v>24</v>
      </c>
      <c r="J340" s="3" t="s">
        <v>25</v>
      </c>
      <c r="K340" s="1">
        <f t="shared" si="15"/>
        <v>2</v>
      </c>
      <c r="L340" s="1" t="str">
        <f>VLOOKUP(K340,List!$B$1:$D$10,2,0)</f>
        <v>Pasivo</v>
      </c>
      <c r="M340" s="1" t="str">
        <f>VLOOKUP(K340,List!$B$1:$D$10,3,0)</f>
        <v>Balance</v>
      </c>
      <c r="N340" s="1" t="str">
        <f t="shared" si="16"/>
        <v>23</v>
      </c>
      <c r="O340" s="1" t="str">
        <f>VLOOKUP(N340,List!$F$1:$G$36,2,0)</f>
        <v xml:space="preserve">Acreedores Comerciales Y Otras Cuentas Por Pagar</v>
      </c>
      <c r="P340" s="1" t="str">
        <f t="shared" si="17"/>
        <v>2365</v>
      </c>
      <c r="Q340" s="1" t="str">
        <f>VLOOKUP(P340,PUC!$A$7:$B$869,2,0)</f>
        <v xml:space="preserve">Retenciones en la fuente</v>
      </c>
      <c r="R340" s="6" t="s">
        <v>1422</v>
      </c>
      <c r="S340" s="6" t="str">
        <f>VLOOKUP(N340,List!$F:$H,3,0)</f>
        <v xml:space="preserve">Corto Termino</v>
      </c>
    </row>
    <row r="341">
      <c r="A341" s="1">
        <v>222</v>
      </c>
      <c r="B341" s="3" t="s">
        <v>414</v>
      </c>
      <c r="C341" s="3" t="s">
        <v>393</v>
      </c>
      <c r="D341" s="3" t="s">
        <v>379</v>
      </c>
      <c r="E341" s="3" t="s">
        <v>357</v>
      </c>
      <c r="F341" s="3" t="s">
        <v>415</v>
      </c>
      <c r="G341" s="3" t="s">
        <v>22</v>
      </c>
      <c r="H341" s="3" t="s">
        <v>23</v>
      </c>
      <c r="I341" s="3" t="s">
        <v>24</v>
      </c>
      <c r="J341" s="3" t="s">
        <v>25</v>
      </c>
      <c r="K341" s="1">
        <f t="shared" si="15"/>
        <v>2</v>
      </c>
      <c r="L341" s="1" t="str">
        <f>VLOOKUP(K341,List!$B$1:$D$10,2,0)</f>
        <v>Pasivo</v>
      </c>
      <c r="M341" s="1" t="str">
        <f>VLOOKUP(K341,List!$B$1:$D$10,3,0)</f>
        <v>Balance</v>
      </c>
      <c r="N341" s="1" t="str">
        <f t="shared" si="16"/>
        <v>23</v>
      </c>
      <c r="O341" s="1" t="str">
        <f>VLOOKUP(N341,List!$F$1:$G$36,2,0)</f>
        <v xml:space="preserve">Acreedores Comerciales Y Otras Cuentas Por Pagar</v>
      </c>
      <c r="P341" s="1" t="str">
        <f t="shared" si="17"/>
        <v>2365</v>
      </c>
      <c r="Q341" s="1" t="str">
        <f>VLOOKUP(P341,PUC!$A$7:$B$869,2,0)</f>
        <v xml:space="preserve">Retenciones en la fuente</v>
      </c>
      <c r="R341" s="6" t="s">
        <v>1422</v>
      </c>
      <c r="S341" s="6" t="str">
        <f>VLOOKUP(N341,List!$F:$H,3,0)</f>
        <v xml:space="preserve">Corto Termino</v>
      </c>
    </row>
    <row r="342">
      <c r="A342" s="1">
        <v>223</v>
      </c>
      <c r="B342" s="3" t="s">
        <v>416</v>
      </c>
      <c r="C342" s="3" t="s">
        <v>417</v>
      </c>
      <c r="D342" s="3" t="s">
        <v>379</v>
      </c>
      <c r="E342" s="3" t="s">
        <v>357</v>
      </c>
      <c r="F342" s="3" t="s">
        <v>418</v>
      </c>
      <c r="G342" s="3" t="s">
        <v>22</v>
      </c>
      <c r="H342" s="3" t="s">
        <v>23</v>
      </c>
      <c r="I342" s="3" t="s">
        <v>24</v>
      </c>
      <c r="J342" s="3" t="s">
        <v>25</v>
      </c>
      <c r="K342" s="1">
        <f t="shared" si="15"/>
        <v>2</v>
      </c>
      <c r="L342" s="1" t="str">
        <f>VLOOKUP(K342,List!$B$1:$D$10,2,0)</f>
        <v>Pasivo</v>
      </c>
      <c r="M342" s="1" t="str">
        <f>VLOOKUP(K342,List!$B$1:$D$10,3,0)</f>
        <v>Balance</v>
      </c>
      <c r="N342" s="1" t="str">
        <f t="shared" si="16"/>
        <v>23</v>
      </c>
      <c r="O342" s="1" t="str">
        <f>VLOOKUP(N342,List!$F$1:$G$36,2,0)</f>
        <v xml:space="preserve">Acreedores Comerciales Y Otras Cuentas Por Pagar</v>
      </c>
      <c r="P342" s="1" t="str">
        <f t="shared" si="17"/>
        <v>2365</v>
      </c>
      <c r="Q342" s="1" t="str">
        <f>VLOOKUP(P342,PUC!$A$7:$B$869,2,0)</f>
        <v xml:space="preserve">Retenciones en la fuente</v>
      </c>
      <c r="R342" s="6" t="s">
        <v>1422</v>
      </c>
      <c r="S342" s="6" t="str">
        <f>VLOOKUP(N342,List!$F:$H,3,0)</f>
        <v xml:space="preserve">Corto Termino</v>
      </c>
    </row>
    <row r="343">
      <c r="A343" s="1">
        <v>224</v>
      </c>
      <c r="B343" s="3" t="s">
        <v>419</v>
      </c>
      <c r="C343" s="3" t="s">
        <v>420</v>
      </c>
      <c r="D343" s="3" t="s">
        <v>379</v>
      </c>
      <c r="E343" s="3" t="s">
        <v>357</v>
      </c>
      <c r="F343" s="3" t="s">
        <v>21</v>
      </c>
      <c r="G343" s="3" t="s">
        <v>22</v>
      </c>
      <c r="H343" s="3" t="s">
        <v>23</v>
      </c>
      <c r="I343" s="3" t="s">
        <v>24</v>
      </c>
      <c r="J343" s="3" t="s">
        <v>25</v>
      </c>
      <c r="K343" s="1">
        <f t="shared" si="15"/>
        <v>2</v>
      </c>
      <c r="L343" s="1" t="str">
        <f>VLOOKUP(K343,List!$B$1:$D$10,2,0)</f>
        <v>Pasivo</v>
      </c>
      <c r="M343" s="1" t="str">
        <f>VLOOKUP(K343,List!$B$1:$D$10,3,0)</f>
        <v>Balance</v>
      </c>
      <c r="N343" s="1" t="str">
        <f t="shared" si="16"/>
        <v>23</v>
      </c>
      <c r="O343" s="1" t="str">
        <f>VLOOKUP(N343,List!$F$1:$G$36,2,0)</f>
        <v xml:space="preserve">Acreedores Comerciales Y Otras Cuentas Por Pagar</v>
      </c>
      <c r="P343" s="1" t="str">
        <f t="shared" si="17"/>
        <v>2365</v>
      </c>
      <c r="Q343" s="1" t="str">
        <f>VLOOKUP(P343,PUC!$A$7:$B$869,2,0)</f>
        <v xml:space="preserve">Retenciones en la fuente</v>
      </c>
      <c r="R343" s="6" t="s">
        <v>1422</v>
      </c>
      <c r="S343" s="6" t="str">
        <f>VLOOKUP(N343,List!$F:$H,3,0)</f>
        <v xml:space="preserve">Corto Termino</v>
      </c>
    </row>
    <row r="344">
      <c r="A344" s="1">
        <v>225</v>
      </c>
      <c r="B344" s="3" t="s">
        <v>421</v>
      </c>
      <c r="C344" s="3" t="s">
        <v>422</v>
      </c>
      <c r="D344" s="3" t="s">
        <v>379</v>
      </c>
      <c r="E344" s="3" t="s">
        <v>357</v>
      </c>
      <c r="F344" s="3" t="s">
        <v>21</v>
      </c>
      <c r="G344" s="3" t="s">
        <v>22</v>
      </c>
      <c r="H344" s="3" t="s">
        <v>23</v>
      </c>
      <c r="I344" s="3" t="s">
        <v>24</v>
      </c>
      <c r="J344" s="3" t="s">
        <v>25</v>
      </c>
      <c r="K344" s="1">
        <f t="shared" si="15"/>
        <v>2</v>
      </c>
      <c r="L344" s="1" t="str">
        <f>VLOOKUP(K344,List!$B$1:$D$10,2,0)</f>
        <v>Pasivo</v>
      </c>
      <c r="M344" s="1" t="str">
        <f>VLOOKUP(K344,List!$B$1:$D$10,3,0)</f>
        <v>Balance</v>
      </c>
      <c r="N344" s="1" t="str">
        <f t="shared" si="16"/>
        <v>23</v>
      </c>
      <c r="O344" s="1" t="str">
        <f>VLOOKUP(N344,List!$F$1:$G$36,2,0)</f>
        <v xml:space="preserve">Acreedores Comerciales Y Otras Cuentas Por Pagar</v>
      </c>
      <c r="P344" s="1" t="str">
        <f t="shared" si="17"/>
        <v>2365</v>
      </c>
      <c r="Q344" s="1" t="str">
        <f>VLOOKUP(P344,PUC!$A$7:$B$869,2,0)</f>
        <v xml:space="preserve">Retenciones en la fuente</v>
      </c>
      <c r="R344" s="6" t="s">
        <v>1422</v>
      </c>
      <c r="S344" s="6" t="str">
        <f>VLOOKUP(N344,List!$F:$H,3,0)</f>
        <v xml:space="preserve">Corto Termino</v>
      </c>
    </row>
    <row r="345">
      <c r="A345" s="1">
        <v>226</v>
      </c>
      <c r="B345" s="3" t="s">
        <v>423</v>
      </c>
      <c r="C345" s="3" t="s">
        <v>424</v>
      </c>
      <c r="D345" s="3" t="s">
        <v>379</v>
      </c>
      <c r="E345" s="3" t="s">
        <v>357</v>
      </c>
      <c r="F345" s="3" t="s">
        <v>21</v>
      </c>
      <c r="G345" s="3" t="s">
        <v>22</v>
      </c>
      <c r="H345" s="3" t="s">
        <v>23</v>
      </c>
      <c r="I345" s="3" t="s">
        <v>24</v>
      </c>
      <c r="J345" s="3" t="s">
        <v>25</v>
      </c>
      <c r="K345" s="1">
        <f t="shared" si="15"/>
        <v>2</v>
      </c>
      <c r="L345" s="1" t="str">
        <f>VLOOKUP(K345,List!$B$1:$D$10,2,0)</f>
        <v>Pasivo</v>
      </c>
      <c r="M345" s="1" t="str">
        <f>VLOOKUP(K345,List!$B$1:$D$10,3,0)</f>
        <v>Balance</v>
      </c>
      <c r="N345" s="1" t="str">
        <f t="shared" si="16"/>
        <v>23</v>
      </c>
      <c r="O345" s="1" t="str">
        <f>VLOOKUP(N345,List!$F$1:$G$36,2,0)</f>
        <v xml:space="preserve">Acreedores Comerciales Y Otras Cuentas Por Pagar</v>
      </c>
      <c r="P345" s="1" t="str">
        <f t="shared" si="17"/>
        <v>2365</v>
      </c>
      <c r="Q345" s="1" t="str">
        <f>VLOOKUP(P345,PUC!$A$7:$B$869,2,0)</f>
        <v xml:space="preserve">Retenciones en la fuente</v>
      </c>
      <c r="R345" s="6" t="s">
        <v>1422</v>
      </c>
      <c r="S345" s="6" t="str">
        <f>VLOOKUP(N345,List!$F:$H,3,0)</f>
        <v xml:space="preserve">Corto Termino</v>
      </c>
    </row>
    <row r="346">
      <c r="A346" s="1">
        <v>227</v>
      </c>
      <c r="B346" s="3" t="s">
        <v>425</v>
      </c>
      <c r="C346" s="3" t="s">
        <v>426</v>
      </c>
      <c r="D346" s="3" t="s">
        <v>379</v>
      </c>
      <c r="E346" s="3" t="s">
        <v>357</v>
      </c>
      <c r="F346" s="3" t="s">
        <v>21</v>
      </c>
      <c r="G346" s="3" t="s">
        <v>22</v>
      </c>
      <c r="H346" s="3" t="s">
        <v>23</v>
      </c>
      <c r="I346" s="3" t="s">
        <v>24</v>
      </c>
      <c r="J346" s="3" t="s">
        <v>25</v>
      </c>
      <c r="K346" s="1">
        <f t="shared" si="15"/>
        <v>2</v>
      </c>
      <c r="L346" s="1" t="str">
        <f>VLOOKUP(K346,List!$B$1:$D$10,2,0)</f>
        <v>Pasivo</v>
      </c>
      <c r="M346" s="1" t="str">
        <f>VLOOKUP(K346,List!$B$1:$D$10,3,0)</f>
        <v>Balance</v>
      </c>
      <c r="N346" s="1" t="str">
        <f t="shared" si="16"/>
        <v>23</v>
      </c>
      <c r="O346" s="1" t="str">
        <f>VLOOKUP(N346,List!$F$1:$G$36,2,0)</f>
        <v xml:space="preserve">Acreedores Comerciales Y Otras Cuentas Por Pagar</v>
      </c>
      <c r="P346" s="1" t="str">
        <f t="shared" si="17"/>
        <v>2365</v>
      </c>
      <c r="Q346" s="1" t="str">
        <f>VLOOKUP(P346,PUC!$A$7:$B$869,2,0)</f>
        <v xml:space="preserve">Retenciones en la fuente</v>
      </c>
      <c r="R346" s="6" t="s">
        <v>1422</v>
      </c>
      <c r="S346" s="6" t="str">
        <f>VLOOKUP(N346,List!$F:$H,3,0)</f>
        <v xml:space="preserve">Corto Termino</v>
      </c>
    </row>
    <row r="347">
      <c r="A347" s="1">
        <v>228</v>
      </c>
      <c r="B347" s="3" t="s">
        <v>427</v>
      </c>
      <c r="C347" s="3" t="s">
        <v>428</v>
      </c>
      <c r="D347" s="3" t="s">
        <v>379</v>
      </c>
      <c r="E347" s="3" t="s">
        <v>357</v>
      </c>
      <c r="F347" s="3" t="s">
        <v>21</v>
      </c>
      <c r="G347" s="3" t="s">
        <v>22</v>
      </c>
      <c r="H347" s="3" t="s">
        <v>23</v>
      </c>
      <c r="I347" s="3" t="s">
        <v>24</v>
      </c>
      <c r="J347" s="3" t="s">
        <v>25</v>
      </c>
      <c r="K347" s="1">
        <f t="shared" si="15"/>
        <v>2</v>
      </c>
      <c r="L347" s="1" t="str">
        <f>VLOOKUP(K347,List!$B$1:$D$10,2,0)</f>
        <v>Pasivo</v>
      </c>
      <c r="M347" s="1" t="str">
        <f>VLOOKUP(K347,List!$B$1:$D$10,3,0)</f>
        <v>Balance</v>
      </c>
      <c r="N347" s="1" t="str">
        <f t="shared" si="16"/>
        <v>23</v>
      </c>
      <c r="O347" s="1" t="str">
        <f>VLOOKUP(N347,List!$F$1:$G$36,2,0)</f>
        <v xml:space="preserve">Acreedores Comerciales Y Otras Cuentas Por Pagar</v>
      </c>
      <c r="P347" s="1" t="str">
        <f t="shared" si="17"/>
        <v>2365</v>
      </c>
      <c r="Q347" s="1" t="str">
        <f>VLOOKUP(P347,PUC!$A$7:$B$869,2,0)</f>
        <v xml:space="preserve">Retenciones en la fuente</v>
      </c>
      <c r="R347" s="6" t="s">
        <v>1422</v>
      </c>
      <c r="S347" s="6" t="str">
        <f>VLOOKUP(N347,List!$F:$H,3,0)</f>
        <v xml:space="preserve">Corto Termino</v>
      </c>
    </row>
    <row r="348">
      <c r="A348" s="1">
        <v>229</v>
      </c>
      <c r="B348" s="3" t="s">
        <v>429</v>
      </c>
      <c r="C348" s="3" t="s">
        <v>430</v>
      </c>
      <c r="D348" s="3" t="s">
        <v>379</v>
      </c>
      <c r="E348" s="3" t="s">
        <v>357</v>
      </c>
      <c r="F348" s="3" t="s">
        <v>21</v>
      </c>
      <c r="G348" s="3" t="s">
        <v>22</v>
      </c>
      <c r="H348" s="3" t="s">
        <v>23</v>
      </c>
      <c r="I348" s="3" t="s">
        <v>24</v>
      </c>
      <c r="J348" s="3" t="s">
        <v>25</v>
      </c>
      <c r="K348" s="1">
        <f t="shared" si="15"/>
        <v>2</v>
      </c>
      <c r="L348" s="1" t="str">
        <f>VLOOKUP(K348,List!$B$1:$D$10,2,0)</f>
        <v>Pasivo</v>
      </c>
      <c r="M348" s="1" t="str">
        <f>VLOOKUP(K348,List!$B$1:$D$10,3,0)</f>
        <v>Balance</v>
      </c>
      <c r="N348" s="1" t="str">
        <f t="shared" si="16"/>
        <v>23</v>
      </c>
      <c r="O348" s="1" t="str">
        <f>VLOOKUP(N348,List!$F$1:$G$36,2,0)</f>
        <v xml:space="preserve">Acreedores Comerciales Y Otras Cuentas Por Pagar</v>
      </c>
      <c r="P348" s="1" t="str">
        <f t="shared" si="17"/>
        <v>2365</v>
      </c>
      <c r="Q348" s="1" t="str">
        <f>VLOOKUP(P348,PUC!$A$7:$B$869,2,0)</f>
        <v xml:space="preserve">Retenciones en la fuente</v>
      </c>
      <c r="R348" s="6" t="s">
        <v>1422</v>
      </c>
      <c r="S348" s="6" t="str">
        <f>VLOOKUP(N348,List!$F:$H,3,0)</f>
        <v xml:space="preserve">Corto Termino</v>
      </c>
    </row>
    <row r="349">
      <c r="A349" s="13">
        <v>230</v>
      </c>
      <c r="B349" s="3" t="s">
        <v>431</v>
      </c>
      <c r="C349" s="3" t="s">
        <v>432</v>
      </c>
      <c r="D349" s="3" t="s">
        <v>379</v>
      </c>
      <c r="E349" s="3" t="s">
        <v>357</v>
      </c>
      <c r="F349" s="3" t="s">
        <v>21</v>
      </c>
      <c r="G349" s="3" t="s">
        <v>22</v>
      </c>
      <c r="H349" s="3" t="s">
        <v>23</v>
      </c>
      <c r="I349" s="3" t="s">
        <v>24</v>
      </c>
      <c r="J349" s="3" t="s">
        <v>25</v>
      </c>
      <c r="K349" s="13">
        <f t="shared" si="15"/>
        <v>2</v>
      </c>
      <c r="L349" s="13" t="str">
        <f>VLOOKUP(K349,List!$B$1:$D$10,2,0)</f>
        <v>Pasivo</v>
      </c>
      <c r="M349" s="13" t="str">
        <f>VLOOKUP(K349,List!$B$1:$D$10,3,0)</f>
        <v>Balance</v>
      </c>
      <c r="N349" s="1" t="str">
        <f t="shared" si="16"/>
        <v>23</v>
      </c>
      <c r="O349" s="1" t="str">
        <f>VLOOKUP(N349,List!$F$1:$G$36,2,0)</f>
        <v xml:space="preserve">Acreedores Comerciales Y Otras Cuentas Por Pagar</v>
      </c>
      <c r="P349" s="1" t="str">
        <f t="shared" si="17"/>
        <v>2365</v>
      </c>
      <c r="Q349" s="1" t="str">
        <f>VLOOKUP(P349,PUC!$A$7:$B$869,2,0)</f>
        <v xml:space="preserve">Retenciones en la fuente</v>
      </c>
      <c r="R349" s="6" t="s">
        <v>1422</v>
      </c>
      <c r="S349" s="6" t="str">
        <f>VLOOKUP(N349,List!$F:$H,3,0)</f>
        <v xml:space="preserve">Corto Termino</v>
      </c>
    </row>
    <row r="350">
      <c r="A350" s="1">
        <v>231</v>
      </c>
      <c r="B350" s="3" t="s">
        <v>433</v>
      </c>
      <c r="C350" s="3" t="s">
        <v>434</v>
      </c>
      <c r="D350" s="3" t="s">
        <v>379</v>
      </c>
      <c r="E350" s="3" t="s">
        <v>357</v>
      </c>
      <c r="F350" s="3" t="s">
        <v>21</v>
      </c>
      <c r="G350" s="3" t="s">
        <v>22</v>
      </c>
      <c r="H350" s="3" t="s">
        <v>23</v>
      </c>
      <c r="I350" s="3" t="s">
        <v>24</v>
      </c>
      <c r="J350" s="3" t="s">
        <v>25</v>
      </c>
      <c r="K350" s="1">
        <f t="shared" si="15"/>
        <v>2</v>
      </c>
      <c r="L350" s="1" t="str">
        <f>VLOOKUP(K350,List!$B$1:$D$10,2,0)</f>
        <v>Pasivo</v>
      </c>
      <c r="M350" s="1" t="str">
        <f>VLOOKUP(K350,List!$B$1:$D$10,3,0)</f>
        <v>Balance</v>
      </c>
      <c r="N350" s="1" t="str">
        <f t="shared" si="16"/>
        <v>23</v>
      </c>
      <c r="O350" s="1" t="str">
        <f>VLOOKUP(N350,List!$F$1:$G$36,2,0)</f>
        <v xml:space="preserve">Acreedores Comerciales Y Otras Cuentas Por Pagar</v>
      </c>
      <c r="P350" s="1" t="str">
        <f t="shared" si="17"/>
        <v>2365</v>
      </c>
      <c r="Q350" s="1" t="str">
        <f>VLOOKUP(P350,PUC!$A$7:$B$869,2,0)</f>
        <v xml:space="preserve">Retenciones en la fuente</v>
      </c>
      <c r="R350" s="6" t="s">
        <v>1422</v>
      </c>
      <c r="S350" s="6" t="str">
        <f>VLOOKUP(N350,List!$F:$H,3,0)</f>
        <v xml:space="preserve">Corto Termino</v>
      </c>
    </row>
    <row r="351">
      <c r="A351" s="1">
        <v>233</v>
      </c>
      <c r="B351" s="3" t="s">
        <v>437</v>
      </c>
      <c r="C351" s="3" t="s">
        <v>436</v>
      </c>
      <c r="D351" s="3" t="s">
        <v>379</v>
      </c>
      <c r="E351" s="3" t="s">
        <v>357</v>
      </c>
      <c r="F351" s="3" t="s">
        <v>415</v>
      </c>
      <c r="G351" s="3" t="s">
        <v>22</v>
      </c>
      <c r="H351" s="3" t="s">
        <v>23</v>
      </c>
      <c r="I351" s="3" t="s">
        <v>24</v>
      </c>
      <c r="J351" s="3" t="s">
        <v>25</v>
      </c>
      <c r="K351" s="1">
        <f t="shared" si="15"/>
        <v>2</v>
      </c>
      <c r="L351" s="1" t="str">
        <f>VLOOKUP(K351,List!$B$1:$D$10,2,0)</f>
        <v>Pasivo</v>
      </c>
      <c r="M351" s="1" t="str">
        <f>VLOOKUP(K351,List!$B$1:$D$10,3,0)</f>
        <v>Balance</v>
      </c>
      <c r="N351" s="1" t="str">
        <f t="shared" si="16"/>
        <v>23</v>
      </c>
      <c r="O351" s="1" t="str">
        <f>VLOOKUP(N351,List!$F$1:$G$36,2,0)</f>
        <v xml:space="preserve">Acreedores Comerciales Y Otras Cuentas Por Pagar</v>
      </c>
      <c r="P351" s="1" t="str">
        <f t="shared" si="17"/>
        <v>2365</v>
      </c>
      <c r="Q351" s="1" t="str">
        <f>VLOOKUP(P351,PUC!$A$7:$B$869,2,0)</f>
        <v xml:space="preserve">Retenciones en la fuente</v>
      </c>
      <c r="R351" s="6" t="s">
        <v>1422</v>
      </c>
      <c r="S351" s="6" t="str">
        <f>VLOOKUP(N351,List!$F:$H,3,0)</f>
        <v xml:space="preserve">Corto Termino</v>
      </c>
    </row>
    <row r="352">
      <c r="A352" s="1">
        <v>234</v>
      </c>
      <c r="B352" s="3" t="s">
        <v>438</v>
      </c>
      <c r="C352" s="3" t="s">
        <v>439</v>
      </c>
      <c r="D352" s="3" t="s">
        <v>379</v>
      </c>
      <c r="E352" s="3" t="s">
        <v>357</v>
      </c>
      <c r="F352" s="3" t="s">
        <v>418</v>
      </c>
      <c r="G352" s="3" t="s">
        <v>22</v>
      </c>
      <c r="H352" s="3" t="s">
        <v>23</v>
      </c>
      <c r="I352" s="3" t="s">
        <v>24</v>
      </c>
      <c r="J352" s="3" t="s">
        <v>25</v>
      </c>
      <c r="K352" s="1">
        <f t="shared" si="15"/>
        <v>2</v>
      </c>
      <c r="L352" s="1" t="str">
        <f>VLOOKUP(K352,List!$B$1:$D$10,2,0)</f>
        <v>Pasivo</v>
      </c>
      <c r="M352" s="1" t="str">
        <f>VLOOKUP(K352,List!$B$1:$D$10,3,0)</f>
        <v>Balance</v>
      </c>
      <c r="N352" s="1" t="str">
        <f t="shared" si="16"/>
        <v>23</v>
      </c>
      <c r="O352" s="1" t="str">
        <f>VLOOKUP(N352,List!$F$1:$G$36,2,0)</f>
        <v xml:space="preserve">Acreedores Comerciales Y Otras Cuentas Por Pagar</v>
      </c>
      <c r="P352" s="1" t="str">
        <f t="shared" si="17"/>
        <v>2365</v>
      </c>
      <c r="Q352" s="1" t="str">
        <f>VLOOKUP(P352,PUC!$A$7:$B$869,2,0)</f>
        <v xml:space="preserve">Retenciones en la fuente</v>
      </c>
      <c r="R352" s="6" t="s">
        <v>1422</v>
      </c>
      <c r="S352" s="6" t="str">
        <f>VLOOKUP(N352,List!$F:$H,3,0)</f>
        <v xml:space="preserve">Corto Termino</v>
      </c>
    </row>
    <row r="353">
      <c r="A353" s="1">
        <v>236</v>
      </c>
      <c r="B353" s="3" t="s">
        <v>442</v>
      </c>
      <c r="C353" s="3" t="s">
        <v>343</v>
      </c>
      <c r="D353" s="3" t="s">
        <v>379</v>
      </c>
      <c r="E353" s="3" t="s">
        <v>357</v>
      </c>
      <c r="F353" s="3" t="s">
        <v>415</v>
      </c>
      <c r="G353" s="3" t="s">
        <v>22</v>
      </c>
      <c r="H353" s="3" t="s">
        <v>23</v>
      </c>
      <c r="I353" s="3" t="s">
        <v>24</v>
      </c>
      <c r="J353" s="3" t="s">
        <v>25</v>
      </c>
      <c r="K353" s="1">
        <f t="shared" si="15"/>
        <v>2</v>
      </c>
      <c r="L353" s="1" t="str">
        <f>VLOOKUP(K353,List!$B$1:$D$10,2,0)</f>
        <v>Pasivo</v>
      </c>
      <c r="M353" s="1" t="str">
        <f>VLOOKUP(K353,List!$B$1:$D$10,3,0)</f>
        <v>Balance</v>
      </c>
      <c r="N353" s="1" t="str">
        <f t="shared" si="16"/>
        <v>23</v>
      </c>
      <c r="O353" s="1" t="str">
        <f>VLOOKUP(N353,List!$F$1:$G$36,2,0)</f>
        <v xml:space="preserve">Acreedores Comerciales Y Otras Cuentas Por Pagar</v>
      </c>
      <c r="P353" s="1" t="str">
        <f t="shared" si="17"/>
        <v>2365</v>
      </c>
      <c r="Q353" s="1" t="str">
        <f>VLOOKUP(P353,PUC!$A$7:$B$869,2,0)</f>
        <v xml:space="preserve">Retenciones en la fuente</v>
      </c>
      <c r="R353" s="6" t="s">
        <v>1422</v>
      </c>
      <c r="S353" s="6" t="str">
        <f>VLOOKUP(N353,List!$F:$H,3,0)</f>
        <v xml:space="preserve">Corto Termino</v>
      </c>
    </row>
    <row r="354">
      <c r="A354" s="1">
        <v>237</v>
      </c>
      <c r="B354" s="3" t="s">
        <v>443</v>
      </c>
      <c r="C354" s="3" t="s">
        <v>444</v>
      </c>
      <c r="D354" s="3" t="s">
        <v>379</v>
      </c>
      <c r="E354" s="3" t="s">
        <v>357</v>
      </c>
      <c r="F354" s="3" t="s">
        <v>418</v>
      </c>
      <c r="G354" s="3" t="s">
        <v>22</v>
      </c>
      <c r="H354" s="3" t="s">
        <v>23</v>
      </c>
      <c r="I354" s="3" t="s">
        <v>24</v>
      </c>
      <c r="J354" s="3" t="s">
        <v>25</v>
      </c>
      <c r="K354" s="1">
        <f t="shared" si="15"/>
        <v>2</v>
      </c>
      <c r="L354" s="1" t="str">
        <f>VLOOKUP(K354,List!$B$1:$D$10,2,0)</f>
        <v>Pasivo</v>
      </c>
      <c r="M354" s="1" t="str">
        <f>VLOOKUP(K354,List!$B$1:$D$10,3,0)</f>
        <v>Balance</v>
      </c>
      <c r="N354" s="1" t="str">
        <f t="shared" si="16"/>
        <v>23</v>
      </c>
      <c r="O354" s="1" t="str">
        <f>VLOOKUP(N354,List!$F$1:$G$36,2,0)</f>
        <v xml:space="preserve">Acreedores Comerciales Y Otras Cuentas Por Pagar</v>
      </c>
      <c r="P354" s="1" t="str">
        <f t="shared" si="17"/>
        <v>2365</v>
      </c>
      <c r="Q354" s="1" t="str">
        <f>VLOOKUP(P354,PUC!$A$7:$B$869,2,0)</f>
        <v xml:space="preserve">Retenciones en la fuente</v>
      </c>
      <c r="R354" s="6" t="s">
        <v>1422</v>
      </c>
      <c r="S354" s="6" t="str">
        <f>VLOOKUP(N354,List!$F:$H,3,0)</f>
        <v xml:space="preserve">Corto Termino</v>
      </c>
    </row>
    <row r="355">
      <c r="A355" s="1">
        <v>238</v>
      </c>
      <c r="B355" s="3" t="s">
        <v>445</v>
      </c>
      <c r="C355" s="3" t="s">
        <v>446</v>
      </c>
      <c r="D355" s="3" t="s">
        <v>379</v>
      </c>
      <c r="E355" s="3" t="s">
        <v>357</v>
      </c>
      <c r="F355" s="3" t="s">
        <v>415</v>
      </c>
      <c r="G355" s="3" t="s">
        <v>22</v>
      </c>
      <c r="H355" s="3" t="s">
        <v>23</v>
      </c>
      <c r="I355" s="3" t="s">
        <v>24</v>
      </c>
      <c r="J355" s="3" t="s">
        <v>25</v>
      </c>
      <c r="K355" s="1">
        <f t="shared" si="15"/>
        <v>2</v>
      </c>
      <c r="L355" s="1" t="str">
        <f>VLOOKUP(K355,List!$B$1:$D$10,2,0)</f>
        <v>Pasivo</v>
      </c>
      <c r="M355" s="1" t="str">
        <f>VLOOKUP(K355,List!$B$1:$D$10,3,0)</f>
        <v>Balance</v>
      </c>
      <c r="N355" s="1" t="str">
        <f t="shared" si="16"/>
        <v>23</v>
      </c>
      <c r="O355" s="1" t="str">
        <f>VLOOKUP(N355,List!$F$1:$G$36,2,0)</f>
        <v xml:space="preserve">Acreedores Comerciales Y Otras Cuentas Por Pagar</v>
      </c>
      <c r="P355" s="1" t="str">
        <f t="shared" si="17"/>
        <v>2365</v>
      </c>
      <c r="Q355" s="1" t="str">
        <f>VLOOKUP(P355,PUC!$A$7:$B$869,2,0)</f>
        <v xml:space="preserve">Retenciones en la fuente</v>
      </c>
      <c r="R355" s="6" t="s">
        <v>1422</v>
      </c>
      <c r="S355" s="6" t="str">
        <f>VLOOKUP(N355,List!$F:$H,3,0)</f>
        <v xml:space="preserve">Corto Termino</v>
      </c>
    </row>
    <row r="356">
      <c r="A356" s="1">
        <v>239</v>
      </c>
      <c r="B356" s="3" t="s">
        <v>447</v>
      </c>
      <c r="C356" s="3" t="s">
        <v>448</v>
      </c>
      <c r="D356" s="3" t="s">
        <v>379</v>
      </c>
      <c r="E356" s="3" t="s">
        <v>357</v>
      </c>
      <c r="F356" s="3" t="s">
        <v>418</v>
      </c>
      <c r="G356" s="3" t="s">
        <v>22</v>
      </c>
      <c r="H356" s="3" t="s">
        <v>23</v>
      </c>
      <c r="I356" s="3" t="s">
        <v>24</v>
      </c>
      <c r="J356" s="3" t="s">
        <v>25</v>
      </c>
      <c r="K356" s="1">
        <f t="shared" si="15"/>
        <v>2</v>
      </c>
      <c r="L356" s="1" t="str">
        <f>VLOOKUP(K356,List!$B$1:$D$10,2,0)</f>
        <v>Pasivo</v>
      </c>
      <c r="M356" s="1" t="str">
        <f>VLOOKUP(K356,List!$B$1:$D$10,3,0)</f>
        <v>Balance</v>
      </c>
      <c r="N356" s="1" t="str">
        <f t="shared" si="16"/>
        <v>23</v>
      </c>
      <c r="O356" s="1" t="str">
        <f>VLOOKUP(N356,List!$F$1:$G$36,2,0)</f>
        <v xml:space="preserve">Acreedores Comerciales Y Otras Cuentas Por Pagar</v>
      </c>
      <c r="P356" s="1" t="str">
        <f t="shared" si="17"/>
        <v>2365</v>
      </c>
      <c r="Q356" s="1" t="str">
        <f>VLOOKUP(P356,PUC!$A$7:$B$869,2,0)</f>
        <v xml:space="preserve">Retenciones en la fuente</v>
      </c>
      <c r="R356" s="6" t="s">
        <v>1422</v>
      </c>
      <c r="S356" s="6" t="str">
        <f>VLOOKUP(N356,List!$F:$H,3,0)</f>
        <v xml:space="preserve">Corto Termino</v>
      </c>
    </row>
    <row r="357">
      <c r="A357" s="1">
        <v>240</v>
      </c>
      <c r="B357" s="3" t="s">
        <v>449</v>
      </c>
      <c r="C357" s="3" t="s">
        <v>450</v>
      </c>
      <c r="D357" s="3" t="s">
        <v>379</v>
      </c>
      <c r="E357" s="3" t="s">
        <v>357</v>
      </c>
      <c r="F357" s="3" t="s">
        <v>415</v>
      </c>
      <c r="G357" s="3" t="s">
        <v>22</v>
      </c>
      <c r="H357" s="3" t="s">
        <v>23</v>
      </c>
      <c r="I357" s="3" t="s">
        <v>24</v>
      </c>
      <c r="J357" s="3" t="s">
        <v>25</v>
      </c>
      <c r="K357" s="1">
        <f t="shared" si="15"/>
        <v>2</v>
      </c>
      <c r="L357" s="1" t="str">
        <f>VLOOKUP(K357,List!$B$1:$D$10,2,0)</f>
        <v>Pasivo</v>
      </c>
      <c r="M357" s="1" t="str">
        <f>VLOOKUP(K357,List!$B$1:$D$10,3,0)</f>
        <v>Balance</v>
      </c>
      <c r="N357" s="1" t="str">
        <f t="shared" si="16"/>
        <v>23</v>
      </c>
      <c r="O357" s="1" t="str">
        <f>VLOOKUP(N357,List!$F$1:$G$36,2,0)</f>
        <v xml:space="preserve">Acreedores Comerciales Y Otras Cuentas Por Pagar</v>
      </c>
      <c r="P357" s="1" t="str">
        <f t="shared" si="17"/>
        <v>2365</v>
      </c>
      <c r="Q357" s="1" t="str">
        <f>VLOOKUP(P357,PUC!$A$7:$B$869,2,0)</f>
        <v xml:space="preserve">Retenciones en la fuente</v>
      </c>
      <c r="R357" s="6" t="s">
        <v>1422</v>
      </c>
      <c r="S357" s="6" t="str">
        <f>VLOOKUP(N357,List!$F:$H,3,0)</f>
        <v xml:space="preserve">Corto Termino</v>
      </c>
    </row>
    <row r="358">
      <c r="A358" s="1">
        <v>241</v>
      </c>
      <c r="B358" s="3" t="s">
        <v>451</v>
      </c>
      <c r="C358" s="3" t="s">
        <v>452</v>
      </c>
      <c r="D358" s="3" t="s">
        <v>379</v>
      </c>
      <c r="E358" s="3" t="s">
        <v>357</v>
      </c>
      <c r="F358" s="3" t="s">
        <v>418</v>
      </c>
      <c r="G358" s="3" t="s">
        <v>22</v>
      </c>
      <c r="H358" s="3" t="s">
        <v>23</v>
      </c>
      <c r="I358" s="3" t="s">
        <v>24</v>
      </c>
      <c r="J358" s="3" t="s">
        <v>25</v>
      </c>
      <c r="K358" s="1">
        <f t="shared" si="15"/>
        <v>2</v>
      </c>
      <c r="L358" s="1" t="str">
        <f>VLOOKUP(K358,List!$B$1:$D$10,2,0)</f>
        <v>Pasivo</v>
      </c>
      <c r="M358" s="1" t="str">
        <f>VLOOKUP(K358,List!$B$1:$D$10,3,0)</f>
        <v>Balance</v>
      </c>
      <c r="N358" s="1" t="str">
        <f t="shared" si="16"/>
        <v>23</v>
      </c>
      <c r="O358" s="1" t="str">
        <f>VLOOKUP(N358,List!$F$1:$G$36,2,0)</f>
        <v xml:space="preserve">Acreedores Comerciales Y Otras Cuentas Por Pagar</v>
      </c>
      <c r="P358" s="1" t="str">
        <f t="shared" si="17"/>
        <v>2365</v>
      </c>
      <c r="Q358" s="1" t="str">
        <f>VLOOKUP(P358,PUC!$A$7:$B$869,2,0)</f>
        <v xml:space="preserve">Retenciones en la fuente</v>
      </c>
      <c r="R358" s="6" t="s">
        <v>1422</v>
      </c>
      <c r="S358" s="6" t="str">
        <f>VLOOKUP(N358,List!$F:$H,3,0)</f>
        <v xml:space="preserve">Corto Termino</v>
      </c>
    </row>
    <row r="359">
      <c r="A359" s="1">
        <v>243</v>
      </c>
      <c r="B359" s="3" t="s">
        <v>455</v>
      </c>
      <c r="C359" s="3" t="s">
        <v>454</v>
      </c>
      <c r="D359" s="3" t="s">
        <v>379</v>
      </c>
      <c r="E359" s="3" t="s">
        <v>357</v>
      </c>
      <c r="F359" s="3" t="s">
        <v>21</v>
      </c>
      <c r="G359" s="3" t="s">
        <v>22</v>
      </c>
      <c r="H359" s="3" t="s">
        <v>23</v>
      </c>
      <c r="I359" s="3" t="s">
        <v>24</v>
      </c>
      <c r="J359" s="3" t="s">
        <v>25</v>
      </c>
      <c r="K359" s="1">
        <f t="shared" si="15"/>
        <v>2</v>
      </c>
      <c r="L359" s="1" t="str">
        <f>VLOOKUP(K359,List!$B$1:$D$10,2,0)</f>
        <v>Pasivo</v>
      </c>
      <c r="M359" s="1" t="str">
        <f>VLOOKUP(K359,List!$B$1:$D$10,3,0)</f>
        <v>Balance</v>
      </c>
      <c r="N359" s="1" t="str">
        <f t="shared" si="16"/>
        <v>23</v>
      </c>
      <c r="O359" s="1" t="str">
        <f>VLOOKUP(N359,List!$F$1:$G$36,2,0)</f>
        <v xml:space="preserve">Acreedores Comerciales Y Otras Cuentas Por Pagar</v>
      </c>
      <c r="P359" s="1" t="str">
        <f t="shared" si="17"/>
        <v>2365</v>
      </c>
      <c r="Q359" s="1" t="str">
        <f>VLOOKUP(P359,PUC!$A$7:$B$869,2,0)</f>
        <v xml:space="preserve">Retenciones en la fuente</v>
      </c>
      <c r="R359" s="6" t="s">
        <v>1422</v>
      </c>
      <c r="S359" s="6" t="str">
        <f>VLOOKUP(N359,List!$F:$H,3,0)</f>
        <v xml:space="preserve">Corto Termino</v>
      </c>
    </row>
    <row r="360">
      <c r="A360" s="1">
        <v>245</v>
      </c>
      <c r="B360" s="3" t="s">
        <v>458</v>
      </c>
      <c r="C360" s="3" t="s">
        <v>457</v>
      </c>
      <c r="D360" s="3" t="s">
        <v>379</v>
      </c>
      <c r="E360" s="3" t="s">
        <v>357</v>
      </c>
      <c r="F360" s="3" t="s">
        <v>21</v>
      </c>
      <c r="G360" s="3" t="s">
        <v>22</v>
      </c>
      <c r="H360" s="3" t="s">
        <v>23</v>
      </c>
      <c r="I360" s="3" t="s">
        <v>24</v>
      </c>
      <c r="J360" s="3" t="s">
        <v>25</v>
      </c>
      <c r="K360" s="1">
        <f t="shared" si="15"/>
        <v>2</v>
      </c>
      <c r="L360" s="1" t="str">
        <f>VLOOKUP(K360,List!$B$1:$D$10,2,0)</f>
        <v>Pasivo</v>
      </c>
      <c r="M360" s="1" t="str">
        <f>VLOOKUP(K360,List!$B$1:$D$10,3,0)</f>
        <v>Balance</v>
      </c>
      <c r="N360" s="1" t="str">
        <f t="shared" si="16"/>
        <v>23</v>
      </c>
      <c r="O360" s="1" t="str">
        <f>VLOOKUP(N360,List!$F$1:$G$36,2,0)</f>
        <v xml:space="preserve">Acreedores Comerciales Y Otras Cuentas Por Pagar</v>
      </c>
      <c r="P360" s="1" t="str">
        <f t="shared" si="17"/>
        <v>2365</v>
      </c>
      <c r="Q360" s="1" t="str">
        <f>VLOOKUP(P360,PUC!$A$7:$B$869,2,0)</f>
        <v xml:space="preserve">Retenciones en la fuente</v>
      </c>
      <c r="R360" s="6" t="s">
        <v>1422</v>
      </c>
      <c r="S360" s="6" t="str">
        <f>VLOOKUP(N360,List!$F:$H,3,0)</f>
        <v xml:space="preserve">Corto Termino</v>
      </c>
    </row>
    <row r="361">
      <c r="A361" s="1">
        <v>246</v>
      </c>
      <c r="B361" s="3" t="s">
        <v>459</v>
      </c>
      <c r="C361" s="3" t="s">
        <v>460</v>
      </c>
      <c r="D361" s="3" t="s">
        <v>379</v>
      </c>
      <c r="E361" s="3" t="s">
        <v>357</v>
      </c>
      <c r="F361" s="3" t="s">
        <v>415</v>
      </c>
      <c r="G361" s="3" t="s">
        <v>22</v>
      </c>
      <c r="H361" s="3" t="s">
        <v>23</v>
      </c>
      <c r="I361" s="3" t="s">
        <v>24</v>
      </c>
      <c r="J361" s="3" t="s">
        <v>25</v>
      </c>
      <c r="K361" s="1">
        <f t="shared" si="15"/>
        <v>2</v>
      </c>
      <c r="L361" s="1" t="str">
        <f>VLOOKUP(K361,List!$B$1:$D$10,2,0)</f>
        <v>Pasivo</v>
      </c>
      <c r="M361" s="1" t="str">
        <f>VLOOKUP(K361,List!$B$1:$D$10,3,0)</f>
        <v>Balance</v>
      </c>
      <c r="N361" s="1" t="str">
        <f t="shared" si="16"/>
        <v>23</v>
      </c>
      <c r="O361" s="1" t="str">
        <f>VLOOKUP(N361,List!$F$1:$G$36,2,0)</f>
        <v xml:space="preserve">Acreedores Comerciales Y Otras Cuentas Por Pagar</v>
      </c>
      <c r="P361" s="1" t="str">
        <f t="shared" si="17"/>
        <v>2365</v>
      </c>
      <c r="Q361" s="1" t="str">
        <f>VLOOKUP(P361,PUC!$A$7:$B$869,2,0)</f>
        <v xml:space="preserve">Retenciones en la fuente</v>
      </c>
      <c r="R361" s="6" t="s">
        <v>1422</v>
      </c>
      <c r="S361" s="6" t="str">
        <f>VLOOKUP(N361,List!$F:$H,3,0)</f>
        <v xml:space="preserve">Corto Termino</v>
      </c>
    </row>
    <row r="362">
      <c r="A362" s="1">
        <v>247</v>
      </c>
      <c r="B362" s="3" t="s">
        <v>461</v>
      </c>
      <c r="C362" s="3" t="s">
        <v>462</v>
      </c>
      <c r="D362" s="3" t="s">
        <v>379</v>
      </c>
      <c r="E362" s="3" t="s">
        <v>357</v>
      </c>
      <c r="F362" s="3" t="s">
        <v>418</v>
      </c>
      <c r="G362" s="3" t="s">
        <v>22</v>
      </c>
      <c r="H362" s="3" t="s">
        <v>23</v>
      </c>
      <c r="I362" s="3" t="s">
        <v>24</v>
      </c>
      <c r="J362" s="3" t="s">
        <v>25</v>
      </c>
      <c r="K362" s="1">
        <f t="shared" si="15"/>
        <v>2</v>
      </c>
      <c r="L362" s="1" t="str">
        <f>VLOOKUP(K362,List!$B$1:$D$10,2,0)</f>
        <v>Pasivo</v>
      </c>
      <c r="M362" s="1" t="str">
        <f>VLOOKUP(K362,List!$B$1:$D$10,3,0)</f>
        <v>Balance</v>
      </c>
      <c r="N362" s="1" t="str">
        <f t="shared" si="16"/>
        <v>23</v>
      </c>
      <c r="O362" s="1" t="str">
        <f>VLOOKUP(N362,List!$F$1:$G$36,2,0)</f>
        <v xml:space="preserve">Acreedores Comerciales Y Otras Cuentas Por Pagar</v>
      </c>
      <c r="P362" s="1" t="str">
        <f t="shared" si="17"/>
        <v>2365</v>
      </c>
      <c r="Q362" s="1" t="str">
        <f>VLOOKUP(P362,PUC!$A$7:$B$869,2,0)</f>
        <v xml:space="preserve">Retenciones en la fuente</v>
      </c>
      <c r="R362" s="6" t="s">
        <v>1422</v>
      </c>
      <c r="S362" s="6" t="str">
        <f>VLOOKUP(N362,List!$F:$H,3,0)</f>
        <v xml:space="preserve">Corto Termino</v>
      </c>
    </row>
    <row r="363">
      <c r="A363" s="1">
        <v>249</v>
      </c>
      <c r="B363" s="3" t="s">
        <v>465</v>
      </c>
      <c r="C363" s="3" t="s">
        <v>466</v>
      </c>
      <c r="D363" s="3" t="s">
        <v>379</v>
      </c>
      <c r="E363" s="3" t="s">
        <v>357</v>
      </c>
      <c r="F363" s="3" t="s">
        <v>415</v>
      </c>
      <c r="G363" s="3" t="s">
        <v>22</v>
      </c>
      <c r="H363" s="3" t="s">
        <v>23</v>
      </c>
      <c r="I363" s="3" t="s">
        <v>24</v>
      </c>
      <c r="J363" s="3" t="s">
        <v>25</v>
      </c>
      <c r="K363" s="1">
        <f t="shared" si="15"/>
        <v>2</v>
      </c>
      <c r="L363" s="1" t="str">
        <f>VLOOKUP(K363,List!$B$1:$D$10,2,0)</f>
        <v>Pasivo</v>
      </c>
      <c r="M363" s="1" t="str">
        <f>VLOOKUP(K363,List!$B$1:$D$10,3,0)</f>
        <v>Balance</v>
      </c>
      <c r="N363" s="1" t="str">
        <f t="shared" si="16"/>
        <v>23</v>
      </c>
      <c r="O363" s="1" t="str">
        <f>VLOOKUP(N363,List!$F$1:$G$36,2,0)</f>
        <v xml:space="preserve">Acreedores Comerciales Y Otras Cuentas Por Pagar</v>
      </c>
      <c r="P363" s="1" t="str">
        <f t="shared" si="17"/>
        <v>2365</v>
      </c>
      <c r="Q363" s="1" t="str">
        <f>VLOOKUP(P363,PUC!$A$7:$B$869,2,0)</f>
        <v xml:space="preserve">Retenciones en la fuente</v>
      </c>
      <c r="R363" s="6" t="s">
        <v>1422</v>
      </c>
      <c r="S363" s="6" t="str">
        <f>VLOOKUP(N363,List!$F:$H,3,0)</f>
        <v xml:space="preserve">Corto Termino</v>
      </c>
    </row>
    <row r="364">
      <c r="A364" s="1">
        <v>250</v>
      </c>
      <c r="B364" s="3" t="s">
        <v>467</v>
      </c>
      <c r="C364" s="3" t="s">
        <v>468</v>
      </c>
      <c r="D364" s="3" t="s">
        <v>379</v>
      </c>
      <c r="E364" s="3" t="s">
        <v>357</v>
      </c>
      <c r="F364" s="3" t="s">
        <v>418</v>
      </c>
      <c r="G364" s="3" t="s">
        <v>22</v>
      </c>
      <c r="H364" s="3" t="s">
        <v>23</v>
      </c>
      <c r="I364" s="3" t="s">
        <v>24</v>
      </c>
      <c r="J364" s="3" t="s">
        <v>25</v>
      </c>
      <c r="K364" s="1">
        <f t="shared" si="15"/>
        <v>2</v>
      </c>
      <c r="L364" s="1" t="str">
        <f>VLOOKUP(K364,List!$B$1:$D$10,2,0)</f>
        <v>Pasivo</v>
      </c>
      <c r="M364" s="1" t="str">
        <f>VLOOKUP(K364,List!$B$1:$D$10,3,0)</f>
        <v>Balance</v>
      </c>
      <c r="N364" s="1" t="str">
        <f t="shared" si="16"/>
        <v>23</v>
      </c>
      <c r="O364" s="1" t="str">
        <f>VLOOKUP(N364,List!$F$1:$G$36,2,0)</f>
        <v xml:space="preserve">Acreedores Comerciales Y Otras Cuentas Por Pagar</v>
      </c>
      <c r="P364" s="1" t="str">
        <f t="shared" si="17"/>
        <v>2365</v>
      </c>
      <c r="Q364" s="1" t="str">
        <f>VLOOKUP(P364,PUC!$A$7:$B$869,2,0)</f>
        <v xml:space="preserve">Retenciones en la fuente</v>
      </c>
      <c r="R364" s="6" t="s">
        <v>1422</v>
      </c>
      <c r="S364" s="6" t="str">
        <f>VLOOKUP(N364,List!$F:$H,3,0)</f>
        <v xml:space="preserve">Corto Termino</v>
      </c>
    </row>
    <row r="365">
      <c r="A365" s="1">
        <v>251</v>
      </c>
      <c r="B365" s="3" t="s">
        <v>469</v>
      </c>
      <c r="C365" s="3" t="s">
        <v>470</v>
      </c>
      <c r="D365" s="3" t="s">
        <v>379</v>
      </c>
      <c r="E365" s="3" t="s">
        <v>357</v>
      </c>
      <c r="F365" s="3" t="s">
        <v>415</v>
      </c>
      <c r="G365" s="3" t="s">
        <v>22</v>
      </c>
      <c r="H365" s="3" t="s">
        <v>23</v>
      </c>
      <c r="I365" s="3" t="s">
        <v>24</v>
      </c>
      <c r="J365" s="3" t="s">
        <v>25</v>
      </c>
      <c r="K365" s="1">
        <f t="shared" si="15"/>
        <v>2</v>
      </c>
      <c r="L365" s="1" t="str">
        <f>VLOOKUP(K365,List!$B$1:$D$10,2,0)</f>
        <v>Pasivo</v>
      </c>
      <c r="M365" s="1" t="str">
        <f>VLOOKUP(K365,List!$B$1:$D$10,3,0)</f>
        <v>Balance</v>
      </c>
      <c r="N365" s="1" t="str">
        <f t="shared" si="16"/>
        <v>23</v>
      </c>
      <c r="O365" s="1" t="str">
        <f>VLOOKUP(N365,List!$F$1:$G$36,2,0)</f>
        <v xml:space="preserve">Acreedores Comerciales Y Otras Cuentas Por Pagar</v>
      </c>
      <c r="P365" s="1" t="str">
        <f t="shared" si="17"/>
        <v>2365</v>
      </c>
      <c r="Q365" s="1" t="str">
        <f>VLOOKUP(P365,PUC!$A$7:$B$869,2,0)</f>
        <v xml:space="preserve">Retenciones en la fuente</v>
      </c>
      <c r="R365" s="6" t="s">
        <v>1422</v>
      </c>
      <c r="S365" s="6" t="str">
        <f>VLOOKUP(N365,List!$F:$H,3,0)</f>
        <v xml:space="preserve">Corto Termino</v>
      </c>
    </row>
    <row r="366">
      <c r="A366" s="1">
        <v>252</v>
      </c>
      <c r="B366" s="3" t="s">
        <v>471</v>
      </c>
      <c r="C366" s="3" t="s">
        <v>472</v>
      </c>
      <c r="D366" s="3" t="s">
        <v>379</v>
      </c>
      <c r="E366" s="3" t="s">
        <v>357</v>
      </c>
      <c r="F366" s="3" t="s">
        <v>418</v>
      </c>
      <c r="G366" s="3" t="s">
        <v>22</v>
      </c>
      <c r="H366" s="3" t="s">
        <v>23</v>
      </c>
      <c r="I366" s="3" t="s">
        <v>24</v>
      </c>
      <c r="J366" s="3" t="s">
        <v>25</v>
      </c>
      <c r="K366" s="1">
        <f t="shared" si="15"/>
        <v>2</v>
      </c>
      <c r="L366" s="1" t="str">
        <f>VLOOKUP(K366,List!$B$1:$D$10,2,0)</f>
        <v>Pasivo</v>
      </c>
      <c r="M366" s="1" t="str">
        <f>VLOOKUP(K366,List!$B$1:$D$10,3,0)</f>
        <v>Balance</v>
      </c>
      <c r="N366" s="1" t="str">
        <f t="shared" si="16"/>
        <v>23</v>
      </c>
      <c r="O366" s="1" t="str">
        <f>VLOOKUP(N366,List!$F$1:$G$36,2,0)</f>
        <v xml:space="preserve">Acreedores Comerciales Y Otras Cuentas Por Pagar</v>
      </c>
      <c r="P366" s="1" t="str">
        <f t="shared" si="17"/>
        <v>2365</v>
      </c>
      <c r="Q366" s="1" t="str">
        <f>VLOOKUP(P366,PUC!$A$7:$B$869,2,0)</f>
        <v xml:space="preserve">Retenciones en la fuente</v>
      </c>
      <c r="R366" s="6" t="s">
        <v>1422</v>
      </c>
      <c r="S366" s="6" t="str">
        <f>VLOOKUP(N366,List!$F:$H,3,0)</f>
        <v xml:space="preserve">Corto Termino</v>
      </c>
    </row>
    <row r="367">
      <c r="A367" s="1">
        <v>254</v>
      </c>
      <c r="B367" s="3" t="s">
        <v>475</v>
      </c>
      <c r="C367" s="3" t="s">
        <v>476</v>
      </c>
      <c r="D367" s="3" t="s">
        <v>379</v>
      </c>
      <c r="E367" s="3" t="s">
        <v>357</v>
      </c>
      <c r="F367" s="3" t="s">
        <v>415</v>
      </c>
      <c r="G367" s="3" t="s">
        <v>22</v>
      </c>
      <c r="H367" s="3" t="s">
        <v>23</v>
      </c>
      <c r="I367" s="3" t="s">
        <v>24</v>
      </c>
      <c r="J367" s="3" t="s">
        <v>25</v>
      </c>
      <c r="K367" s="1">
        <f t="shared" si="15"/>
        <v>2</v>
      </c>
      <c r="L367" s="1" t="str">
        <f>VLOOKUP(K367,List!$B$1:$D$10,2,0)</f>
        <v>Pasivo</v>
      </c>
      <c r="M367" s="1" t="str">
        <f>VLOOKUP(K367,List!$B$1:$D$10,3,0)</f>
        <v>Balance</v>
      </c>
      <c r="N367" s="1" t="str">
        <f t="shared" si="16"/>
        <v>23</v>
      </c>
      <c r="O367" s="1" t="str">
        <f>VLOOKUP(N367,List!$F$1:$G$36,2,0)</f>
        <v xml:space="preserve">Acreedores Comerciales Y Otras Cuentas Por Pagar</v>
      </c>
      <c r="P367" s="1" t="str">
        <f t="shared" si="17"/>
        <v>2365</v>
      </c>
      <c r="Q367" s="1" t="str">
        <f>VLOOKUP(P367,PUC!$A$7:$B$869,2,0)</f>
        <v xml:space="preserve">Retenciones en la fuente</v>
      </c>
      <c r="R367" s="6" t="s">
        <v>1422</v>
      </c>
      <c r="S367" s="6" t="str">
        <f>VLOOKUP(N367,List!$F:$H,3,0)</f>
        <v xml:space="preserve">Corto Termino</v>
      </c>
    </row>
    <row r="368">
      <c r="A368" s="1">
        <v>255</v>
      </c>
      <c r="B368" s="3" t="s">
        <v>477</v>
      </c>
      <c r="C368" s="3" t="s">
        <v>478</v>
      </c>
      <c r="D368" s="3" t="s">
        <v>379</v>
      </c>
      <c r="E368" s="3" t="s">
        <v>357</v>
      </c>
      <c r="F368" s="3" t="s">
        <v>418</v>
      </c>
      <c r="G368" s="3" t="s">
        <v>22</v>
      </c>
      <c r="H368" s="3" t="s">
        <v>23</v>
      </c>
      <c r="I368" s="3" t="s">
        <v>24</v>
      </c>
      <c r="J368" s="3" t="s">
        <v>25</v>
      </c>
      <c r="K368" s="1">
        <f t="shared" si="15"/>
        <v>2</v>
      </c>
      <c r="L368" s="1" t="str">
        <f>VLOOKUP(K368,List!$B$1:$D$10,2,0)</f>
        <v>Pasivo</v>
      </c>
      <c r="M368" s="1" t="str">
        <f>VLOOKUP(K368,List!$B$1:$D$10,3,0)</f>
        <v>Balance</v>
      </c>
      <c r="N368" s="1" t="str">
        <f t="shared" si="16"/>
        <v>23</v>
      </c>
      <c r="O368" s="1" t="str">
        <f>VLOOKUP(N368,List!$F$1:$G$36,2,0)</f>
        <v xml:space="preserve">Acreedores Comerciales Y Otras Cuentas Por Pagar</v>
      </c>
      <c r="P368" s="1" t="str">
        <f t="shared" si="17"/>
        <v>2365</v>
      </c>
      <c r="Q368" s="1" t="str">
        <f>VLOOKUP(P368,PUC!$A$7:$B$869,2,0)</f>
        <v xml:space="preserve">Retenciones en la fuente</v>
      </c>
      <c r="R368" s="6" t="s">
        <v>1422</v>
      </c>
      <c r="S368" s="6" t="str">
        <f>VLOOKUP(N368,List!$F:$H,3,0)</f>
        <v xml:space="preserve">Corto Termino</v>
      </c>
    </row>
    <row r="369">
      <c r="A369" s="1">
        <v>257</v>
      </c>
      <c r="B369" s="3" t="s">
        <v>481</v>
      </c>
      <c r="C369" s="3" t="s">
        <v>480</v>
      </c>
      <c r="D369" s="3" t="s">
        <v>379</v>
      </c>
      <c r="E369" s="3" t="s">
        <v>357</v>
      </c>
      <c r="F369" s="3" t="s">
        <v>21</v>
      </c>
      <c r="G369" s="3" t="s">
        <v>22</v>
      </c>
      <c r="H369" s="3" t="s">
        <v>23</v>
      </c>
      <c r="I369" s="3" t="s">
        <v>24</v>
      </c>
      <c r="J369" s="3" t="s">
        <v>25</v>
      </c>
      <c r="K369" s="1">
        <f t="shared" si="15"/>
        <v>2</v>
      </c>
      <c r="L369" s="1" t="str">
        <f>VLOOKUP(K369,List!$B$1:$D$10,2,0)</f>
        <v>Pasivo</v>
      </c>
      <c r="M369" s="1" t="str">
        <f>VLOOKUP(K369,List!$B$1:$D$10,3,0)</f>
        <v>Balance</v>
      </c>
      <c r="N369" s="1" t="str">
        <f t="shared" si="16"/>
        <v>23</v>
      </c>
      <c r="O369" s="1" t="str">
        <f>VLOOKUP(N369,List!$F$1:$G$36,2,0)</f>
        <v xml:space="preserve">Acreedores Comerciales Y Otras Cuentas Por Pagar</v>
      </c>
      <c r="P369" s="1" t="str">
        <f t="shared" si="17"/>
        <v>2365</v>
      </c>
      <c r="Q369" s="1" t="str">
        <f>VLOOKUP(P369,PUC!$A$7:$B$869,2,0)</f>
        <v xml:space="preserve">Retenciones en la fuente</v>
      </c>
      <c r="R369" s="6" t="s">
        <v>1422</v>
      </c>
      <c r="S369" s="6" t="str">
        <f>VLOOKUP(N369,List!$F:$H,3,0)</f>
        <v xml:space="preserve">Corto Termino</v>
      </c>
    </row>
    <row r="370">
      <c r="A370" s="1">
        <v>260</v>
      </c>
      <c r="B370" s="3" t="s">
        <v>484</v>
      </c>
      <c r="C370" s="3" t="s">
        <v>161</v>
      </c>
      <c r="D370" s="3" t="s">
        <v>379</v>
      </c>
      <c r="E370" s="3" t="s">
        <v>357</v>
      </c>
      <c r="F370" s="3" t="s">
        <v>415</v>
      </c>
      <c r="G370" s="3" t="s">
        <v>22</v>
      </c>
      <c r="H370" s="3" t="s">
        <v>23</v>
      </c>
      <c r="I370" s="3" t="s">
        <v>24</v>
      </c>
      <c r="J370" s="3" t="s">
        <v>25</v>
      </c>
      <c r="K370" s="1">
        <f t="shared" si="15"/>
        <v>2</v>
      </c>
      <c r="L370" s="1" t="str">
        <f>VLOOKUP(K370,List!$B$1:$D$10,2,0)</f>
        <v>Pasivo</v>
      </c>
      <c r="M370" s="1" t="str">
        <f>VLOOKUP(K370,List!$B$1:$D$10,3,0)</f>
        <v>Balance</v>
      </c>
      <c r="N370" s="1" t="str">
        <f t="shared" si="16"/>
        <v>23</v>
      </c>
      <c r="O370" s="1" t="str">
        <f>VLOOKUP(N370,List!$F$1:$G$36,2,0)</f>
        <v xml:space="preserve">Acreedores Comerciales Y Otras Cuentas Por Pagar</v>
      </c>
      <c r="P370" s="1" t="str">
        <f t="shared" si="17"/>
        <v>2367</v>
      </c>
      <c r="Q370" s="1" t="str">
        <f>VLOOKUP(P370,PUC!$A$7:$B$869,2,0)</f>
        <v xml:space="preserve">Impuesto a las ventas retenido</v>
      </c>
      <c r="R370" s="6" t="s">
        <v>1422</v>
      </c>
      <c r="S370" s="6" t="str">
        <f>VLOOKUP(N370,List!$F:$H,3,0)</f>
        <v xml:space="preserve">Corto Termino</v>
      </c>
    </row>
    <row r="371">
      <c r="A371" s="1">
        <v>261</v>
      </c>
      <c r="B371" s="3" t="s">
        <v>485</v>
      </c>
      <c r="C371" s="3" t="s">
        <v>486</v>
      </c>
      <c r="D371" s="3" t="s">
        <v>379</v>
      </c>
      <c r="E371" s="3" t="s">
        <v>357</v>
      </c>
      <c r="F371" s="3" t="s">
        <v>418</v>
      </c>
      <c r="G371" s="3" t="s">
        <v>22</v>
      </c>
      <c r="H371" s="3" t="s">
        <v>23</v>
      </c>
      <c r="I371" s="3" t="s">
        <v>24</v>
      </c>
      <c r="J371" s="3" t="s">
        <v>25</v>
      </c>
      <c r="K371" s="1">
        <f t="shared" si="15"/>
        <v>2</v>
      </c>
      <c r="L371" s="1" t="str">
        <f>VLOOKUP(K371,List!$B$1:$D$10,2,0)</f>
        <v>Pasivo</v>
      </c>
      <c r="M371" s="1" t="str">
        <f>VLOOKUP(K371,List!$B$1:$D$10,3,0)</f>
        <v>Balance</v>
      </c>
      <c r="N371" s="1" t="str">
        <f t="shared" si="16"/>
        <v>23</v>
      </c>
      <c r="O371" s="1" t="str">
        <f>VLOOKUP(N371,List!$F$1:$G$36,2,0)</f>
        <v xml:space="preserve">Acreedores Comerciales Y Otras Cuentas Por Pagar</v>
      </c>
      <c r="P371" s="1" t="str">
        <f t="shared" si="17"/>
        <v>2367</v>
      </c>
      <c r="Q371" s="1" t="str">
        <f>VLOOKUP(P371,PUC!$A$7:$B$869,2,0)</f>
        <v xml:space="preserve">Impuesto a las ventas retenido</v>
      </c>
      <c r="R371" s="6" t="s">
        <v>1422</v>
      </c>
      <c r="S371" s="6" t="str">
        <f>VLOOKUP(N371,List!$F:$H,3,0)</f>
        <v xml:space="preserve">Corto Termino</v>
      </c>
    </row>
    <row r="372">
      <c r="A372" s="1">
        <v>264</v>
      </c>
      <c r="B372" s="3" t="s">
        <v>490</v>
      </c>
      <c r="C372" s="3" t="s">
        <v>159</v>
      </c>
      <c r="D372" s="3" t="s">
        <v>379</v>
      </c>
      <c r="E372" s="3" t="s">
        <v>357</v>
      </c>
      <c r="F372" s="3" t="s">
        <v>21</v>
      </c>
      <c r="G372" s="3" t="s">
        <v>22</v>
      </c>
      <c r="H372" s="3" t="s">
        <v>23</v>
      </c>
      <c r="I372" s="3" t="s">
        <v>24</v>
      </c>
      <c r="J372" s="3" t="s">
        <v>25</v>
      </c>
      <c r="K372" s="1">
        <f t="shared" si="15"/>
        <v>2</v>
      </c>
      <c r="L372" s="1" t="str">
        <f>VLOOKUP(K372,List!$B$1:$D$10,2,0)</f>
        <v>Pasivo</v>
      </c>
      <c r="M372" s="1" t="str">
        <f>VLOOKUP(K372,List!$B$1:$D$10,3,0)</f>
        <v>Balance</v>
      </c>
      <c r="N372" s="1" t="str">
        <f t="shared" si="16"/>
        <v>23</v>
      </c>
      <c r="O372" s="1" t="str">
        <f>VLOOKUP(N372,List!$F$1:$G$36,2,0)</f>
        <v xml:space="preserve">Acreedores Comerciales Y Otras Cuentas Por Pagar</v>
      </c>
      <c r="P372" s="1" t="str">
        <f t="shared" si="17"/>
        <v>2367</v>
      </c>
      <c r="Q372" s="1" t="str">
        <f>VLOOKUP(P372,PUC!$A$7:$B$869,2,0)</f>
        <v xml:space="preserve">Impuesto a las ventas retenido</v>
      </c>
      <c r="R372" s="6" t="s">
        <v>1422</v>
      </c>
      <c r="S372" s="6" t="str">
        <f>VLOOKUP(N372,List!$F:$H,3,0)</f>
        <v xml:space="preserve">Corto Termino</v>
      </c>
    </row>
    <row r="373">
      <c r="A373" s="1">
        <v>267</v>
      </c>
      <c r="B373" s="3" t="s">
        <v>494</v>
      </c>
      <c r="C373" s="3" t="s">
        <v>495</v>
      </c>
      <c r="D373" s="3" t="s">
        <v>379</v>
      </c>
      <c r="E373" s="3" t="s">
        <v>357</v>
      </c>
      <c r="F373" s="3" t="s">
        <v>415</v>
      </c>
      <c r="G373" s="3" t="s">
        <v>22</v>
      </c>
      <c r="H373" s="3" t="s">
        <v>23</v>
      </c>
      <c r="I373" s="3" t="s">
        <v>24</v>
      </c>
      <c r="J373" s="3" t="s">
        <v>25</v>
      </c>
      <c r="K373" s="1">
        <f t="shared" si="15"/>
        <v>2</v>
      </c>
      <c r="L373" s="1" t="str">
        <f>VLOOKUP(K373,List!$B$1:$D$10,2,0)</f>
        <v>Pasivo</v>
      </c>
      <c r="M373" s="1" t="str">
        <f>VLOOKUP(K373,List!$B$1:$D$10,3,0)</f>
        <v>Balance</v>
      </c>
      <c r="N373" s="1" t="str">
        <f t="shared" si="16"/>
        <v>23</v>
      </c>
      <c r="O373" s="1" t="str">
        <f>VLOOKUP(N373,List!$F$1:$G$36,2,0)</f>
        <v xml:space="preserve">Acreedores Comerciales Y Otras Cuentas Por Pagar</v>
      </c>
      <c r="P373" s="1" t="str">
        <f t="shared" si="17"/>
        <v>2368</v>
      </c>
      <c r="Q373" s="1" t="str">
        <f>VLOOKUP(P373,PUC!$A$7:$B$869,2,0)</f>
        <v xml:space="preserve">Impuesto de industria y comercio retenido</v>
      </c>
      <c r="R373" s="6" t="s">
        <v>1422</v>
      </c>
      <c r="S373" s="6" t="str">
        <f>VLOOKUP(N373,List!$F:$H,3,0)</f>
        <v xml:space="preserve">Corto Termino</v>
      </c>
    </row>
    <row r="374">
      <c r="A374" s="1">
        <v>268</v>
      </c>
      <c r="B374" s="3" t="s">
        <v>496</v>
      </c>
      <c r="C374" s="3" t="s">
        <v>497</v>
      </c>
      <c r="D374" s="3" t="s">
        <v>379</v>
      </c>
      <c r="E374" s="3" t="s">
        <v>357</v>
      </c>
      <c r="F374" s="3" t="s">
        <v>418</v>
      </c>
      <c r="G374" s="3" t="s">
        <v>22</v>
      </c>
      <c r="H374" s="3" t="s">
        <v>23</v>
      </c>
      <c r="I374" s="3" t="s">
        <v>24</v>
      </c>
      <c r="J374" s="3" t="s">
        <v>25</v>
      </c>
      <c r="K374" s="1">
        <f t="shared" si="15"/>
        <v>2</v>
      </c>
      <c r="L374" s="1" t="str">
        <f>VLOOKUP(K374,List!$B$1:$D$10,2,0)</f>
        <v>Pasivo</v>
      </c>
      <c r="M374" s="1" t="str">
        <f>VLOOKUP(K374,List!$B$1:$D$10,3,0)</f>
        <v>Balance</v>
      </c>
      <c r="N374" s="1" t="str">
        <f t="shared" si="16"/>
        <v>23</v>
      </c>
      <c r="O374" s="1" t="str">
        <f>VLOOKUP(N374,List!$F$1:$G$36,2,0)</f>
        <v xml:space="preserve">Acreedores Comerciales Y Otras Cuentas Por Pagar</v>
      </c>
      <c r="P374" s="1" t="str">
        <f t="shared" si="17"/>
        <v>2368</v>
      </c>
      <c r="Q374" s="1" t="str">
        <f>VLOOKUP(P374,PUC!$A$7:$B$869,2,0)</f>
        <v xml:space="preserve">Impuesto de industria y comercio retenido</v>
      </c>
      <c r="R374" s="6" t="s">
        <v>1422</v>
      </c>
      <c r="S374" s="6" t="str">
        <f>VLOOKUP(N374,List!$F:$H,3,0)</f>
        <v xml:space="preserve">Corto Termino</v>
      </c>
    </row>
    <row r="375">
      <c r="A375" s="1">
        <v>269</v>
      </c>
      <c r="B375" s="3" t="s">
        <v>498</v>
      </c>
      <c r="C375" s="3" t="s">
        <v>499</v>
      </c>
      <c r="D375" s="3" t="s">
        <v>379</v>
      </c>
      <c r="E375" s="3" t="s">
        <v>357</v>
      </c>
      <c r="F375" s="3" t="s">
        <v>415</v>
      </c>
      <c r="G375" s="3" t="s">
        <v>22</v>
      </c>
      <c r="H375" s="3" t="s">
        <v>23</v>
      </c>
      <c r="I375" s="3" t="s">
        <v>24</v>
      </c>
      <c r="J375" s="3" t="s">
        <v>25</v>
      </c>
      <c r="K375" s="1">
        <f t="shared" si="15"/>
        <v>2</v>
      </c>
      <c r="L375" s="1" t="str">
        <f>VLOOKUP(K375,List!$B$1:$D$10,2,0)</f>
        <v>Pasivo</v>
      </c>
      <c r="M375" s="1" t="str">
        <f>VLOOKUP(K375,List!$B$1:$D$10,3,0)</f>
        <v>Balance</v>
      </c>
      <c r="N375" s="1" t="str">
        <f t="shared" si="16"/>
        <v>23</v>
      </c>
      <c r="O375" s="1" t="str">
        <f>VLOOKUP(N375,List!$F$1:$G$36,2,0)</f>
        <v xml:space="preserve">Acreedores Comerciales Y Otras Cuentas Por Pagar</v>
      </c>
      <c r="P375" s="1" t="str">
        <f t="shared" si="17"/>
        <v>2368</v>
      </c>
      <c r="Q375" s="1" t="str">
        <f>VLOOKUP(P375,PUC!$A$7:$B$869,2,0)</f>
        <v xml:space="preserve">Impuesto de industria y comercio retenido</v>
      </c>
      <c r="R375" s="6" t="s">
        <v>1422</v>
      </c>
      <c r="S375" s="6" t="str">
        <f>VLOOKUP(N375,List!$F:$H,3,0)</f>
        <v xml:space="preserve">Corto Termino</v>
      </c>
    </row>
    <row r="376">
      <c r="A376" s="1">
        <v>270</v>
      </c>
      <c r="B376" s="3" t="s">
        <v>500</v>
      </c>
      <c r="C376" s="3" t="s">
        <v>501</v>
      </c>
      <c r="D376" s="3" t="s">
        <v>379</v>
      </c>
      <c r="E376" s="3" t="s">
        <v>357</v>
      </c>
      <c r="F376" s="3" t="s">
        <v>418</v>
      </c>
      <c r="G376" s="3" t="s">
        <v>22</v>
      </c>
      <c r="H376" s="3" t="s">
        <v>23</v>
      </c>
      <c r="I376" s="3" t="s">
        <v>24</v>
      </c>
      <c r="J376" s="3" t="s">
        <v>25</v>
      </c>
      <c r="K376" s="1">
        <f t="shared" si="15"/>
        <v>2</v>
      </c>
      <c r="L376" s="1" t="str">
        <f>VLOOKUP(K376,List!$B$1:$D$10,2,0)</f>
        <v>Pasivo</v>
      </c>
      <c r="M376" s="1" t="str">
        <f>VLOOKUP(K376,List!$B$1:$D$10,3,0)</f>
        <v>Balance</v>
      </c>
      <c r="N376" s="1" t="str">
        <f t="shared" si="16"/>
        <v>23</v>
      </c>
      <c r="O376" s="1" t="str">
        <f>VLOOKUP(N376,List!$F$1:$G$36,2,0)</f>
        <v xml:space="preserve">Acreedores Comerciales Y Otras Cuentas Por Pagar</v>
      </c>
      <c r="P376" s="1" t="str">
        <f t="shared" si="17"/>
        <v>2368</v>
      </c>
      <c r="Q376" s="1" t="str">
        <f>VLOOKUP(P376,PUC!$A$7:$B$869,2,0)</f>
        <v xml:space="preserve">Impuesto de industria y comercio retenido</v>
      </c>
      <c r="R376" s="6" t="s">
        <v>1422</v>
      </c>
      <c r="S376" s="6" t="str">
        <f>VLOOKUP(N376,List!$F:$H,3,0)</f>
        <v xml:space="preserve">Corto Termino</v>
      </c>
    </row>
    <row r="377">
      <c r="A377" s="1">
        <v>271</v>
      </c>
      <c r="B377" s="3" t="s">
        <v>502</v>
      </c>
      <c r="C377" s="3" t="s">
        <v>503</v>
      </c>
      <c r="D377" s="3" t="s">
        <v>379</v>
      </c>
      <c r="E377" s="3" t="s">
        <v>357</v>
      </c>
      <c r="F377" s="3" t="s">
        <v>415</v>
      </c>
      <c r="G377" s="3" t="s">
        <v>22</v>
      </c>
      <c r="H377" s="3" t="s">
        <v>23</v>
      </c>
      <c r="I377" s="3" t="s">
        <v>24</v>
      </c>
      <c r="J377" s="3" t="s">
        <v>25</v>
      </c>
      <c r="K377" s="1">
        <f t="shared" si="15"/>
        <v>2</v>
      </c>
      <c r="L377" s="1" t="str">
        <f>VLOOKUP(K377,List!$B$1:$D$10,2,0)</f>
        <v>Pasivo</v>
      </c>
      <c r="M377" s="1" t="str">
        <f>VLOOKUP(K377,List!$B$1:$D$10,3,0)</f>
        <v>Balance</v>
      </c>
      <c r="N377" s="1" t="str">
        <f t="shared" si="16"/>
        <v>23</v>
      </c>
      <c r="O377" s="1" t="str">
        <f>VLOOKUP(N377,List!$F$1:$G$36,2,0)</f>
        <v xml:space="preserve">Acreedores Comerciales Y Otras Cuentas Por Pagar</v>
      </c>
      <c r="P377" s="1" t="str">
        <f t="shared" si="17"/>
        <v>2368</v>
      </c>
      <c r="Q377" s="1" t="str">
        <f>VLOOKUP(P377,PUC!$A$7:$B$869,2,0)</f>
        <v xml:space="preserve">Impuesto de industria y comercio retenido</v>
      </c>
      <c r="R377" s="6" t="s">
        <v>1422</v>
      </c>
      <c r="S377" s="6" t="str">
        <f>VLOOKUP(N377,List!$F:$H,3,0)</f>
        <v xml:space="preserve">Corto Termino</v>
      </c>
    </row>
    <row r="378">
      <c r="A378" s="1">
        <v>272</v>
      </c>
      <c r="B378" s="3" t="s">
        <v>504</v>
      </c>
      <c r="C378" s="3" t="s">
        <v>505</v>
      </c>
      <c r="D378" s="3" t="s">
        <v>379</v>
      </c>
      <c r="E378" s="3" t="s">
        <v>357</v>
      </c>
      <c r="F378" s="3" t="s">
        <v>418</v>
      </c>
      <c r="G378" s="3" t="s">
        <v>22</v>
      </c>
      <c r="H378" s="3" t="s">
        <v>23</v>
      </c>
      <c r="I378" s="3" t="s">
        <v>24</v>
      </c>
      <c r="J378" s="3" t="s">
        <v>25</v>
      </c>
      <c r="K378" s="1">
        <f t="shared" si="15"/>
        <v>2</v>
      </c>
      <c r="L378" s="1" t="str">
        <f>VLOOKUP(K378,List!$B$1:$D$10,2,0)</f>
        <v>Pasivo</v>
      </c>
      <c r="M378" s="1" t="str">
        <f>VLOOKUP(K378,List!$B$1:$D$10,3,0)</f>
        <v>Balance</v>
      </c>
      <c r="N378" s="1" t="str">
        <f t="shared" si="16"/>
        <v>23</v>
      </c>
      <c r="O378" s="1" t="str">
        <f>VLOOKUP(N378,List!$F$1:$G$36,2,0)</f>
        <v xml:space="preserve">Acreedores Comerciales Y Otras Cuentas Por Pagar</v>
      </c>
      <c r="P378" s="1" t="str">
        <f t="shared" si="17"/>
        <v>2368</v>
      </c>
      <c r="Q378" s="1" t="str">
        <f>VLOOKUP(P378,PUC!$A$7:$B$869,2,0)</f>
        <v xml:space="preserve">Impuesto de industria y comercio retenido</v>
      </c>
      <c r="R378" s="6" t="s">
        <v>1422</v>
      </c>
      <c r="S378" s="6" t="str">
        <f>VLOOKUP(N378,List!$F:$H,3,0)</f>
        <v xml:space="preserve">Corto Termino</v>
      </c>
    </row>
    <row r="379">
      <c r="A379" s="1">
        <v>273</v>
      </c>
      <c r="B379" s="3" t="s">
        <v>506</v>
      </c>
      <c r="C379" s="3" t="s">
        <v>507</v>
      </c>
      <c r="D379" s="3" t="s">
        <v>379</v>
      </c>
      <c r="E379" s="3" t="s">
        <v>357</v>
      </c>
      <c r="F379" s="3" t="s">
        <v>415</v>
      </c>
      <c r="G379" s="3" t="s">
        <v>22</v>
      </c>
      <c r="H379" s="3" t="s">
        <v>23</v>
      </c>
      <c r="I379" s="3" t="s">
        <v>24</v>
      </c>
      <c r="J379" s="3" t="s">
        <v>25</v>
      </c>
      <c r="K379" s="1">
        <f t="shared" si="15"/>
        <v>2</v>
      </c>
      <c r="L379" s="1" t="str">
        <f>VLOOKUP(K379,List!$B$1:$D$10,2,0)</f>
        <v>Pasivo</v>
      </c>
      <c r="M379" s="1" t="str">
        <f>VLOOKUP(K379,List!$B$1:$D$10,3,0)</f>
        <v>Balance</v>
      </c>
      <c r="N379" s="1" t="str">
        <f t="shared" si="16"/>
        <v>23</v>
      </c>
      <c r="O379" s="1" t="str">
        <f>VLOOKUP(N379,List!$F$1:$G$36,2,0)</f>
        <v xml:space="preserve">Acreedores Comerciales Y Otras Cuentas Por Pagar</v>
      </c>
      <c r="P379" s="1" t="str">
        <f t="shared" si="17"/>
        <v>2368</v>
      </c>
      <c r="Q379" s="1" t="str">
        <f>VLOOKUP(P379,PUC!$A$7:$B$869,2,0)</f>
        <v xml:space="preserve">Impuesto de industria y comercio retenido</v>
      </c>
      <c r="R379" s="6" t="s">
        <v>1422</v>
      </c>
      <c r="S379" s="6" t="str">
        <f>VLOOKUP(N379,List!$F:$H,3,0)</f>
        <v xml:space="preserve">Corto Termino</v>
      </c>
    </row>
    <row r="380">
      <c r="A380" s="1">
        <v>274</v>
      </c>
      <c r="B380" s="3" t="s">
        <v>508</v>
      </c>
      <c r="C380" s="3" t="s">
        <v>509</v>
      </c>
      <c r="D380" s="3" t="s">
        <v>379</v>
      </c>
      <c r="E380" s="3" t="s">
        <v>357</v>
      </c>
      <c r="F380" s="3" t="s">
        <v>418</v>
      </c>
      <c r="G380" s="3" t="s">
        <v>22</v>
      </c>
      <c r="H380" s="3" t="s">
        <v>23</v>
      </c>
      <c r="I380" s="3" t="s">
        <v>24</v>
      </c>
      <c r="J380" s="3" t="s">
        <v>25</v>
      </c>
      <c r="K380" s="1">
        <f t="shared" si="15"/>
        <v>2</v>
      </c>
      <c r="L380" s="1" t="str">
        <f>VLOOKUP(K380,List!$B$1:$D$10,2,0)</f>
        <v>Pasivo</v>
      </c>
      <c r="M380" s="1" t="str">
        <f>VLOOKUP(K380,List!$B$1:$D$10,3,0)</f>
        <v>Balance</v>
      </c>
      <c r="N380" s="1" t="str">
        <f t="shared" si="16"/>
        <v>23</v>
      </c>
      <c r="O380" s="1" t="str">
        <f>VLOOKUP(N380,List!$F$1:$G$36,2,0)</f>
        <v xml:space="preserve">Acreedores Comerciales Y Otras Cuentas Por Pagar</v>
      </c>
      <c r="P380" s="1" t="str">
        <f t="shared" si="17"/>
        <v>2368</v>
      </c>
      <c r="Q380" s="1" t="str">
        <f>VLOOKUP(P380,PUC!$A$7:$B$869,2,0)</f>
        <v xml:space="preserve">Impuesto de industria y comercio retenido</v>
      </c>
      <c r="R380" s="6" t="s">
        <v>1422</v>
      </c>
      <c r="S380" s="6" t="str">
        <f>VLOOKUP(N380,List!$F:$H,3,0)</f>
        <v xml:space="preserve">Corto Termino</v>
      </c>
    </row>
    <row r="381">
      <c r="A381" s="1">
        <v>275</v>
      </c>
      <c r="B381" s="3" t="s">
        <v>510</v>
      </c>
      <c r="C381" s="3" t="s">
        <v>511</v>
      </c>
      <c r="D381" s="3" t="s">
        <v>379</v>
      </c>
      <c r="E381" s="3" t="s">
        <v>357</v>
      </c>
      <c r="F381" s="3" t="s">
        <v>415</v>
      </c>
      <c r="G381" s="3" t="s">
        <v>22</v>
      </c>
      <c r="H381" s="3" t="s">
        <v>23</v>
      </c>
      <c r="I381" s="3" t="s">
        <v>24</v>
      </c>
      <c r="J381" s="3" t="s">
        <v>25</v>
      </c>
      <c r="K381" s="1">
        <f t="shared" si="15"/>
        <v>2</v>
      </c>
      <c r="L381" s="1" t="str">
        <f>VLOOKUP(K381,List!$B$1:$D$10,2,0)</f>
        <v>Pasivo</v>
      </c>
      <c r="M381" s="1" t="str">
        <f>VLOOKUP(K381,List!$B$1:$D$10,3,0)</f>
        <v>Balance</v>
      </c>
      <c r="N381" s="1" t="str">
        <f t="shared" si="16"/>
        <v>23</v>
      </c>
      <c r="O381" s="1" t="str">
        <f>VLOOKUP(N381,List!$F$1:$G$36,2,0)</f>
        <v xml:space="preserve">Acreedores Comerciales Y Otras Cuentas Por Pagar</v>
      </c>
      <c r="P381" s="1" t="str">
        <f t="shared" si="17"/>
        <v>2368</v>
      </c>
      <c r="Q381" s="1" t="str">
        <f>VLOOKUP(P381,PUC!$A$7:$B$869,2,0)</f>
        <v xml:space="preserve">Impuesto de industria y comercio retenido</v>
      </c>
      <c r="R381" s="6" t="s">
        <v>1422</v>
      </c>
      <c r="S381" s="6" t="str">
        <f>VLOOKUP(N381,List!$F:$H,3,0)</f>
        <v xml:space="preserve">Corto Termino</v>
      </c>
    </row>
    <row r="382">
      <c r="A382" s="1">
        <v>276</v>
      </c>
      <c r="B382" s="3" t="s">
        <v>512</v>
      </c>
      <c r="C382" s="3" t="s">
        <v>513</v>
      </c>
      <c r="D382" s="3" t="s">
        <v>379</v>
      </c>
      <c r="E382" s="3" t="s">
        <v>357</v>
      </c>
      <c r="F382" s="3" t="s">
        <v>418</v>
      </c>
      <c r="G382" s="3" t="s">
        <v>22</v>
      </c>
      <c r="H382" s="3" t="s">
        <v>23</v>
      </c>
      <c r="I382" s="3" t="s">
        <v>24</v>
      </c>
      <c r="J382" s="3" t="s">
        <v>25</v>
      </c>
      <c r="K382" s="1">
        <f t="shared" si="15"/>
        <v>2</v>
      </c>
      <c r="L382" s="1" t="str">
        <f>VLOOKUP(K382,List!$B$1:$D$10,2,0)</f>
        <v>Pasivo</v>
      </c>
      <c r="M382" s="1" t="str">
        <f>VLOOKUP(K382,List!$B$1:$D$10,3,0)</f>
        <v>Balance</v>
      </c>
      <c r="N382" s="1" t="str">
        <f t="shared" si="16"/>
        <v>23</v>
      </c>
      <c r="O382" s="1" t="str">
        <f>VLOOKUP(N382,List!$F$1:$G$36,2,0)</f>
        <v xml:space="preserve">Acreedores Comerciales Y Otras Cuentas Por Pagar</v>
      </c>
      <c r="P382" s="1" t="str">
        <f t="shared" si="17"/>
        <v>2368</v>
      </c>
      <c r="Q382" s="1" t="str">
        <f>VLOOKUP(P382,PUC!$A$7:$B$869,2,0)</f>
        <v xml:space="preserve">Impuesto de industria y comercio retenido</v>
      </c>
      <c r="R382" s="6" t="s">
        <v>1422</v>
      </c>
      <c r="S382" s="6" t="str">
        <f>VLOOKUP(N382,List!$F:$H,3,0)</f>
        <v xml:space="preserve">Corto Termino</v>
      </c>
    </row>
    <row r="383">
      <c r="A383" s="1">
        <v>277</v>
      </c>
      <c r="B383" s="3" t="s">
        <v>514</v>
      </c>
      <c r="C383" s="3" t="s">
        <v>515</v>
      </c>
      <c r="D383" s="3" t="s">
        <v>379</v>
      </c>
      <c r="E383" s="3" t="s">
        <v>357</v>
      </c>
      <c r="F383" s="3" t="s">
        <v>415</v>
      </c>
      <c r="G383" s="3" t="s">
        <v>22</v>
      </c>
      <c r="H383" s="3" t="s">
        <v>23</v>
      </c>
      <c r="I383" s="3" t="s">
        <v>24</v>
      </c>
      <c r="J383" s="3" t="s">
        <v>25</v>
      </c>
      <c r="K383" s="1">
        <f t="shared" si="15"/>
        <v>2</v>
      </c>
      <c r="L383" s="1" t="str">
        <f>VLOOKUP(K383,List!$B$1:$D$10,2,0)</f>
        <v>Pasivo</v>
      </c>
      <c r="M383" s="1" t="str">
        <f>VLOOKUP(K383,List!$B$1:$D$10,3,0)</f>
        <v>Balance</v>
      </c>
      <c r="N383" s="1" t="str">
        <f t="shared" si="16"/>
        <v>23</v>
      </c>
      <c r="O383" s="1" t="str">
        <f>VLOOKUP(N383,List!$F$1:$G$36,2,0)</f>
        <v xml:space="preserve">Acreedores Comerciales Y Otras Cuentas Por Pagar</v>
      </c>
      <c r="P383" s="1" t="str">
        <f t="shared" si="17"/>
        <v>2368</v>
      </c>
      <c r="Q383" s="1" t="str">
        <f>VLOOKUP(P383,PUC!$A$7:$B$869,2,0)</f>
        <v xml:space="preserve">Impuesto de industria y comercio retenido</v>
      </c>
      <c r="R383" s="6" t="s">
        <v>1422</v>
      </c>
      <c r="S383" s="6" t="str">
        <f>VLOOKUP(N383,List!$F:$H,3,0)</f>
        <v xml:space="preserve">Corto Termino</v>
      </c>
    </row>
    <row r="384">
      <c r="A384" s="1">
        <v>278</v>
      </c>
      <c r="B384" s="3" t="s">
        <v>516</v>
      </c>
      <c r="C384" s="3" t="s">
        <v>517</v>
      </c>
      <c r="D384" s="3" t="s">
        <v>379</v>
      </c>
      <c r="E384" s="3" t="s">
        <v>357</v>
      </c>
      <c r="F384" s="3" t="s">
        <v>418</v>
      </c>
      <c r="G384" s="3" t="s">
        <v>22</v>
      </c>
      <c r="H384" s="3" t="s">
        <v>23</v>
      </c>
      <c r="I384" s="3" t="s">
        <v>24</v>
      </c>
      <c r="J384" s="3" t="s">
        <v>25</v>
      </c>
      <c r="K384" s="1">
        <f t="shared" si="15"/>
        <v>2</v>
      </c>
      <c r="L384" s="1" t="str">
        <f>VLOOKUP(K384,List!$B$1:$D$10,2,0)</f>
        <v>Pasivo</v>
      </c>
      <c r="M384" s="1" t="str">
        <f>VLOOKUP(K384,List!$B$1:$D$10,3,0)</f>
        <v>Balance</v>
      </c>
      <c r="N384" s="1" t="str">
        <f t="shared" si="16"/>
        <v>23</v>
      </c>
      <c r="O384" s="1" t="str">
        <f>VLOOKUP(N384,List!$F$1:$G$36,2,0)</f>
        <v xml:space="preserve">Acreedores Comerciales Y Otras Cuentas Por Pagar</v>
      </c>
      <c r="P384" s="1" t="str">
        <f t="shared" si="17"/>
        <v>2368</v>
      </c>
      <c r="Q384" s="1" t="str">
        <f>VLOOKUP(P384,PUC!$A$7:$B$869,2,0)</f>
        <v xml:space="preserve">Impuesto de industria y comercio retenido</v>
      </c>
      <c r="R384" s="6" t="s">
        <v>1422</v>
      </c>
      <c r="S384" s="6" t="str">
        <f>VLOOKUP(N384,List!$F:$H,3,0)</f>
        <v xml:space="preserve">Corto Termino</v>
      </c>
    </row>
    <row r="385">
      <c r="A385" s="1">
        <v>279</v>
      </c>
      <c r="B385" s="3" t="s">
        <v>518</v>
      </c>
      <c r="C385" s="3" t="s">
        <v>519</v>
      </c>
      <c r="D385" s="3" t="s">
        <v>379</v>
      </c>
      <c r="E385" s="3" t="s">
        <v>357</v>
      </c>
      <c r="F385" s="3" t="s">
        <v>415</v>
      </c>
      <c r="G385" s="3" t="s">
        <v>22</v>
      </c>
      <c r="H385" s="3" t="s">
        <v>23</v>
      </c>
      <c r="I385" s="3" t="s">
        <v>24</v>
      </c>
      <c r="J385" s="3" t="s">
        <v>25</v>
      </c>
      <c r="K385" s="1">
        <f t="shared" si="15"/>
        <v>2</v>
      </c>
      <c r="L385" s="1" t="str">
        <f>VLOOKUP(K385,List!$B$1:$D$10,2,0)</f>
        <v>Pasivo</v>
      </c>
      <c r="M385" s="1" t="str">
        <f>VLOOKUP(K385,List!$B$1:$D$10,3,0)</f>
        <v>Balance</v>
      </c>
      <c r="N385" s="1" t="str">
        <f t="shared" si="16"/>
        <v>23</v>
      </c>
      <c r="O385" s="1" t="str">
        <f>VLOOKUP(N385,List!$F$1:$G$36,2,0)</f>
        <v xml:space="preserve">Acreedores Comerciales Y Otras Cuentas Por Pagar</v>
      </c>
      <c r="P385" s="1" t="str">
        <f t="shared" si="17"/>
        <v>2368</v>
      </c>
      <c r="Q385" s="1" t="str">
        <f>VLOOKUP(P385,PUC!$A$7:$B$869,2,0)</f>
        <v xml:space="preserve">Impuesto de industria y comercio retenido</v>
      </c>
      <c r="R385" s="6" t="s">
        <v>1422</v>
      </c>
      <c r="S385" s="6" t="str">
        <f>VLOOKUP(N385,List!$F:$H,3,0)</f>
        <v xml:space="preserve">Corto Termino</v>
      </c>
    </row>
    <row r="386">
      <c r="A386" s="1">
        <v>280</v>
      </c>
      <c r="B386" s="3" t="s">
        <v>520</v>
      </c>
      <c r="C386" s="3" t="s">
        <v>521</v>
      </c>
      <c r="D386" s="3" t="s">
        <v>379</v>
      </c>
      <c r="E386" s="3" t="s">
        <v>357</v>
      </c>
      <c r="F386" s="3" t="s">
        <v>418</v>
      </c>
      <c r="G386" s="3" t="s">
        <v>22</v>
      </c>
      <c r="H386" s="3" t="s">
        <v>23</v>
      </c>
      <c r="I386" s="3" t="s">
        <v>24</v>
      </c>
      <c r="J386" s="3" t="s">
        <v>25</v>
      </c>
      <c r="K386" s="1">
        <f t="shared" ref="K386:K440" si="18">VALUE(LEFT(B386))</f>
        <v>2</v>
      </c>
      <c r="L386" s="1" t="str">
        <f>VLOOKUP(K386,List!$B$1:$D$10,2,0)</f>
        <v>Pasivo</v>
      </c>
      <c r="M386" s="1" t="str">
        <f>VLOOKUP(K386,List!$B$1:$D$10,3,0)</f>
        <v>Balance</v>
      </c>
      <c r="N386" s="1" t="str">
        <f t="shared" ref="N386:N446" si="19">LEFT(B386,2)</f>
        <v>23</v>
      </c>
      <c r="O386" s="1" t="str">
        <f>VLOOKUP(N386,List!$F$1:$G$36,2,0)</f>
        <v xml:space="preserve">Acreedores Comerciales Y Otras Cuentas Por Pagar</v>
      </c>
      <c r="P386" s="1" t="str">
        <f t="shared" ref="P386:P446" si="20">LEFT(B386,4)</f>
        <v>2368</v>
      </c>
      <c r="Q386" s="1" t="str">
        <f>VLOOKUP(P386,PUC!$A$7:$B$869,2,0)</f>
        <v xml:space="preserve">Impuesto de industria y comercio retenido</v>
      </c>
      <c r="R386" s="6" t="s">
        <v>1422</v>
      </c>
      <c r="S386" s="6" t="str">
        <f>VLOOKUP(N386,List!$F:$H,3,0)</f>
        <v xml:space="preserve">Corto Termino</v>
      </c>
    </row>
    <row r="387">
      <c r="A387" s="1">
        <v>283</v>
      </c>
      <c r="B387" s="3" t="s">
        <v>526</v>
      </c>
      <c r="C387" s="3" t="s">
        <v>525</v>
      </c>
      <c r="D387" s="3" t="s">
        <v>379</v>
      </c>
      <c r="E387" s="3" t="s">
        <v>357</v>
      </c>
      <c r="F387" s="3" t="s">
        <v>21</v>
      </c>
      <c r="G387" s="3" t="s">
        <v>22</v>
      </c>
      <c r="H387" s="3" t="s">
        <v>23</v>
      </c>
      <c r="I387" s="3" t="s">
        <v>24</v>
      </c>
      <c r="J387" s="3" t="s">
        <v>25</v>
      </c>
      <c r="K387" s="1">
        <f t="shared" si="18"/>
        <v>2</v>
      </c>
      <c r="L387" s="1" t="str">
        <f>VLOOKUP(K387,List!$B$1:$D$10,2,0)</f>
        <v>Pasivo</v>
      </c>
      <c r="M387" s="1" t="str">
        <f>VLOOKUP(K387,List!$B$1:$D$10,3,0)</f>
        <v>Balance</v>
      </c>
      <c r="N387" s="1" t="str">
        <f t="shared" si="19"/>
        <v>23</v>
      </c>
      <c r="O387" s="1" t="str">
        <f>VLOOKUP(N387,List!$F$1:$G$36,2,0)</f>
        <v xml:space="preserve">Acreedores Comerciales Y Otras Cuentas Por Pagar</v>
      </c>
      <c r="P387" s="1" t="str">
        <f t="shared" si="20"/>
        <v>2370</v>
      </c>
      <c r="Q387" s="1" t="str">
        <f>VLOOKUP(P387,PUC!$A$7:$B$869,2,0)</f>
        <v xml:space="preserve">Aportes a empresas promotoras de salud eps</v>
      </c>
      <c r="R387" s="6" t="s">
        <v>1422</v>
      </c>
      <c r="S387" s="6" t="str">
        <f>VLOOKUP(N387,List!$F:$H,3,0)</f>
        <v xml:space="preserve">Corto Termino</v>
      </c>
    </row>
    <row r="388">
      <c r="A388" s="1">
        <v>285</v>
      </c>
      <c r="B388" s="3" t="s">
        <v>529</v>
      </c>
      <c r="C388" s="3" t="s">
        <v>530</v>
      </c>
      <c r="D388" s="3" t="s">
        <v>531</v>
      </c>
      <c r="E388" s="3" t="s">
        <v>357</v>
      </c>
      <c r="F388" s="3" t="s">
        <v>21</v>
      </c>
      <c r="G388" s="3" t="s">
        <v>22</v>
      </c>
      <c r="H388" s="3" t="s">
        <v>23</v>
      </c>
      <c r="I388" s="3" t="s">
        <v>24</v>
      </c>
      <c r="J388" s="3" t="s">
        <v>25</v>
      </c>
      <c r="K388" s="1">
        <f t="shared" si="18"/>
        <v>2</v>
      </c>
      <c r="L388" s="1" t="str">
        <f>VLOOKUP(K388,List!$B$1:$D$10,2,0)</f>
        <v>Pasivo</v>
      </c>
      <c r="M388" s="1" t="str">
        <f>VLOOKUP(K388,List!$B$1:$D$10,3,0)</f>
        <v>Balance</v>
      </c>
      <c r="N388" s="1" t="str">
        <f t="shared" si="19"/>
        <v>23</v>
      </c>
      <c r="O388" s="1" t="str">
        <f>VLOOKUP(N388,List!$F$1:$G$36,2,0)</f>
        <v xml:space="preserve">Acreedores Comerciales Y Otras Cuentas Por Pagar</v>
      </c>
      <c r="P388" s="1" t="str">
        <f t="shared" si="20"/>
        <v>2370</v>
      </c>
      <c r="Q388" s="1" t="str">
        <f>VLOOKUP(P388,PUC!$A$7:$B$869,2,0)</f>
        <v xml:space="preserve">Aportes a empresas promotoras de salud eps</v>
      </c>
      <c r="R388" s="6" t="s">
        <v>1422</v>
      </c>
      <c r="S388" s="6" t="str">
        <f>VLOOKUP(N388,List!$F:$H,3,0)</f>
        <v xml:space="preserve">Corto Termino</v>
      </c>
    </row>
    <row r="389">
      <c r="A389" s="1">
        <v>287</v>
      </c>
      <c r="B389" s="3" t="s">
        <v>534</v>
      </c>
      <c r="C389" s="3" t="s">
        <v>533</v>
      </c>
      <c r="D389" s="3" t="s">
        <v>379</v>
      </c>
      <c r="E389" s="3" t="s">
        <v>357</v>
      </c>
      <c r="F389" s="3" t="s">
        <v>21</v>
      </c>
      <c r="G389" s="3" t="s">
        <v>22</v>
      </c>
      <c r="H389" s="3" t="s">
        <v>23</v>
      </c>
      <c r="I389" s="3" t="s">
        <v>24</v>
      </c>
      <c r="J389" s="3" t="s">
        <v>25</v>
      </c>
      <c r="K389" s="1">
        <f t="shared" si="18"/>
        <v>2</v>
      </c>
      <c r="L389" s="1" t="str">
        <f>VLOOKUP(K389,List!$B$1:$D$10,2,0)</f>
        <v>Pasivo</v>
      </c>
      <c r="M389" s="1" t="str">
        <f>VLOOKUP(K389,List!$B$1:$D$10,3,0)</f>
        <v>Balance</v>
      </c>
      <c r="N389" s="1" t="str">
        <f t="shared" si="19"/>
        <v>23</v>
      </c>
      <c r="O389" s="1" t="str">
        <f>VLOOKUP(N389,List!$F$1:$G$36,2,0)</f>
        <v xml:space="preserve">Acreedores Comerciales Y Otras Cuentas Por Pagar</v>
      </c>
      <c r="P389" s="1" t="str">
        <f t="shared" si="20"/>
        <v>2370</v>
      </c>
      <c r="Q389" s="1" t="str">
        <f>VLOOKUP(P389,PUC!$A$7:$B$869,2,0)</f>
        <v xml:space="preserve">Aportes a empresas promotoras de salud eps</v>
      </c>
      <c r="R389" s="6" t="s">
        <v>1422</v>
      </c>
      <c r="S389" s="6" t="str">
        <f>VLOOKUP(N389,List!$F:$H,3,0)</f>
        <v xml:space="preserve">Corto Termino</v>
      </c>
    </row>
    <row r="390">
      <c r="A390" s="1">
        <v>288</v>
      </c>
      <c r="B390" s="3" t="s">
        <v>535</v>
      </c>
      <c r="C390" s="3" t="s">
        <v>536</v>
      </c>
      <c r="D390" s="3" t="s">
        <v>379</v>
      </c>
      <c r="E390" s="3" t="s">
        <v>357</v>
      </c>
      <c r="F390" s="3" t="s">
        <v>21</v>
      </c>
      <c r="G390" s="3" t="s">
        <v>22</v>
      </c>
      <c r="H390" s="3" t="s">
        <v>23</v>
      </c>
      <c r="I390" s="3" t="s">
        <v>24</v>
      </c>
      <c r="J390" s="3" t="s">
        <v>25</v>
      </c>
      <c r="K390" s="1">
        <f t="shared" si="18"/>
        <v>2</v>
      </c>
      <c r="L390" s="1" t="str">
        <f>VLOOKUP(K390,List!$B$1:$D$10,2,0)</f>
        <v>Pasivo</v>
      </c>
      <c r="M390" s="1" t="str">
        <f>VLOOKUP(K390,List!$B$1:$D$10,3,0)</f>
        <v>Balance</v>
      </c>
      <c r="N390" s="1" t="str">
        <f t="shared" si="19"/>
        <v>23</v>
      </c>
      <c r="O390" s="1" t="str">
        <f>VLOOKUP(N390,List!$F$1:$G$36,2,0)</f>
        <v xml:space="preserve">Acreedores Comerciales Y Otras Cuentas Por Pagar</v>
      </c>
      <c r="P390" s="1" t="str">
        <f t="shared" si="20"/>
        <v>2370</v>
      </c>
      <c r="Q390" s="1" t="str">
        <f>VLOOKUP(P390,PUC!$A$7:$B$869,2,0)</f>
        <v xml:space="preserve">Aportes a empresas promotoras de salud eps</v>
      </c>
      <c r="R390" s="6" t="s">
        <v>1422</v>
      </c>
      <c r="S390" s="6" t="str">
        <f>VLOOKUP(N390,List!$F:$H,3,0)</f>
        <v xml:space="preserve">Corto Termino</v>
      </c>
    </row>
    <row r="391">
      <c r="A391" s="1">
        <v>289</v>
      </c>
      <c r="B391" s="3" t="s">
        <v>537</v>
      </c>
      <c r="C391" s="3" t="s">
        <v>538</v>
      </c>
      <c r="D391" s="3" t="s">
        <v>379</v>
      </c>
      <c r="E391" s="3" t="s">
        <v>357</v>
      </c>
      <c r="F391" s="3" t="s">
        <v>21</v>
      </c>
      <c r="G391" s="3" t="s">
        <v>22</v>
      </c>
      <c r="H391" s="3" t="s">
        <v>23</v>
      </c>
      <c r="I391" s="3" t="s">
        <v>24</v>
      </c>
      <c r="J391" s="3" t="s">
        <v>25</v>
      </c>
      <c r="K391" s="1">
        <f t="shared" si="18"/>
        <v>2</v>
      </c>
      <c r="L391" s="1" t="str">
        <f>VLOOKUP(K391,List!$B$1:$D$10,2,0)</f>
        <v>Pasivo</v>
      </c>
      <c r="M391" s="1" t="str">
        <f>VLOOKUP(K391,List!$B$1:$D$10,3,0)</f>
        <v>Balance</v>
      </c>
      <c r="N391" s="1" t="str">
        <f t="shared" si="19"/>
        <v>23</v>
      </c>
      <c r="O391" s="1" t="str">
        <f>VLOOKUP(N391,List!$F$1:$G$36,2,0)</f>
        <v xml:space="preserve">Acreedores Comerciales Y Otras Cuentas Por Pagar</v>
      </c>
      <c r="P391" s="1" t="str">
        <f t="shared" si="20"/>
        <v>2370</v>
      </c>
      <c r="Q391" s="1" t="str">
        <f>VLOOKUP(P391,PUC!$A$7:$B$869,2,0)</f>
        <v xml:space="preserve">Aportes a empresas promotoras de salud eps</v>
      </c>
      <c r="R391" s="6" t="s">
        <v>1422</v>
      </c>
      <c r="S391" s="6" t="str">
        <f>VLOOKUP(N391,List!$F:$H,3,0)</f>
        <v xml:space="preserve">Corto Termino</v>
      </c>
    </row>
    <row r="392">
      <c r="A392" s="1">
        <v>291</v>
      </c>
      <c r="B392" s="3" t="s">
        <v>541</v>
      </c>
      <c r="C392" s="3" t="s">
        <v>540</v>
      </c>
      <c r="D392" s="3" t="s">
        <v>379</v>
      </c>
      <c r="E392" s="3" t="s">
        <v>357</v>
      </c>
      <c r="F392" s="3" t="s">
        <v>21</v>
      </c>
      <c r="G392" s="3" t="s">
        <v>22</v>
      </c>
      <c r="H392" s="3" t="s">
        <v>23</v>
      </c>
      <c r="I392" s="3" t="s">
        <v>24</v>
      </c>
      <c r="J392" s="3" t="s">
        <v>25</v>
      </c>
      <c r="K392" s="1">
        <f t="shared" si="18"/>
        <v>2</v>
      </c>
      <c r="L392" s="1" t="str">
        <f>VLOOKUP(K392,List!$B$1:$D$10,2,0)</f>
        <v>Pasivo</v>
      </c>
      <c r="M392" s="1" t="str">
        <f>VLOOKUP(K392,List!$B$1:$D$10,3,0)</f>
        <v>Balance</v>
      </c>
      <c r="N392" s="1" t="str">
        <f t="shared" si="19"/>
        <v>23</v>
      </c>
      <c r="O392" s="1" t="str">
        <f>VLOOKUP(N392,List!$F$1:$G$36,2,0)</f>
        <v xml:space="preserve">Acreedores Comerciales Y Otras Cuentas Por Pagar</v>
      </c>
      <c r="P392" s="1" t="str">
        <f t="shared" si="20"/>
        <v>2370</v>
      </c>
      <c r="Q392" s="1" t="str">
        <f>VLOOKUP(P392,PUC!$A$7:$B$869,2,0)</f>
        <v xml:space="preserve">Aportes a empresas promotoras de salud eps</v>
      </c>
      <c r="R392" s="6" t="s">
        <v>1422</v>
      </c>
      <c r="S392" s="6" t="str">
        <f>VLOOKUP(N392,List!$F:$H,3,0)</f>
        <v xml:space="preserve">Corto Termino</v>
      </c>
    </row>
    <row r="393">
      <c r="A393" s="1">
        <v>293</v>
      </c>
      <c r="B393" s="3" t="s">
        <v>544</v>
      </c>
      <c r="C393" s="3" t="s">
        <v>543</v>
      </c>
      <c r="D393" s="3" t="s">
        <v>379</v>
      </c>
      <c r="E393" s="3" t="s">
        <v>357</v>
      </c>
      <c r="F393" s="3" t="s">
        <v>21</v>
      </c>
      <c r="G393" s="3" t="s">
        <v>22</v>
      </c>
      <c r="H393" s="3" t="s">
        <v>23</v>
      </c>
      <c r="I393" s="3" t="s">
        <v>24</v>
      </c>
      <c r="J393" s="3" t="s">
        <v>25</v>
      </c>
      <c r="K393" s="1">
        <f t="shared" si="18"/>
        <v>2</v>
      </c>
      <c r="L393" s="1" t="str">
        <f>VLOOKUP(K393,List!$B$1:$D$10,2,0)</f>
        <v>Pasivo</v>
      </c>
      <c r="M393" s="1" t="str">
        <f>VLOOKUP(K393,List!$B$1:$D$10,3,0)</f>
        <v>Balance</v>
      </c>
      <c r="N393" s="1" t="str">
        <f t="shared" si="19"/>
        <v>23</v>
      </c>
      <c r="O393" s="1" t="str">
        <f>VLOOKUP(N393,List!$F$1:$G$36,2,0)</f>
        <v xml:space="preserve">Acreedores Comerciales Y Otras Cuentas Por Pagar</v>
      </c>
      <c r="P393" s="1" t="str">
        <f t="shared" si="20"/>
        <v>2370</v>
      </c>
      <c r="Q393" s="1" t="str">
        <f>VLOOKUP(P393,PUC!$A$7:$B$869,2,0)</f>
        <v xml:space="preserve">Aportes a empresas promotoras de salud eps</v>
      </c>
      <c r="R393" s="6" t="s">
        <v>1422</v>
      </c>
      <c r="S393" s="6" t="str">
        <f>VLOOKUP(N393,List!$F:$H,3,0)</f>
        <v xml:space="preserve">Corto Termino</v>
      </c>
    </row>
    <row r="394">
      <c r="A394" s="1">
        <v>295</v>
      </c>
      <c r="B394" s="3" t="s">
        <v>547</v>
      </c>
      <c r="C394" s="3" t="s">
        <v>546</v>
      </c>
      <c r="D394" s="3" t="s">
        <v>379</v>
      </c>
      <c r="E394" s="3" t="s">
        <v>357</v>
      </c>
      <c r="F394" s="3" t="s">
        <v>21</v>
      </c>
      <c r="G394" s="3" t="s">
        <v>22</v>
      </c>
      <c r="H394" s="3" t="s">
        <v>23</v>
      </c>
      <c r="I394" s="3" t="s">
        <v>24</v>
      </c>
      <c r="J394" s="3" t="s">
        <v>25</v>
      </c>
      <c r="K394" s="1">
        <f t="shared" si="18"/>
        <v>2</v>
      </c>
      <c r="L394" s="1" t="str">
        <f>VLOOKUP(K394,List!$B$1:$D$10,2,0)</f>
        <v>Pasivo</v>
      </c>
      <c r="M394" s="1" t="str">
        <f>VLOOKUP(K394,List!$B$1:$D$10,3,0)</f>
        <v>Balance</v>
      </c>
      <c r="N394" s="1" t="str">
        <f t="shared" si="19"/>
        <v>23</v>
      </c>
      <c r="O394" s="1" t="str">
        <f>VLOOKUP(N394,List!$F$1:$G$36,2,0)</f>
        <v xml:space="preserve">Acreedores Comerciales Y Otras Cuentas Por Pagar</v>
      </c>
      <c r="P394" s="1" t="str">
        <f t="shared" si="20"/>
        <v>2370</v>
      </c>
      <c r="Q394" s="1" t="str">
        <f>VLOOKUP(P394,PUC!$A$7:$B$869,2,0)</f>
        <v xml:space="preserve">Aportes a empresas promotoras de salud eps</v>
      </c>
      <c r="R394" s="6" t="s">
        <v>1422</v>
      </c>
      <c r="S394" s="6" t="str">
        <f>VLOOKUP(N394,List!$F:$H,3,0)</f>
        <v xml:space="preserve">Corto Termino</v>
      </c>
    </row>
    <row r="395">
      <c r="A395" s="1">
        <v>297</v>
      </c>
      <c r="B395" s="3" t="s">
        <v>550</v>
      </c>
      <c r="C395" s="3" t="s">
        <v>549</v>
      </c>
      <c r="D395" s="3" t="s">
        <v>379</v>
      </c>
      <c r="E395" s="3" t="s">
        <v>357</v>
      </c>
      <c r="F395" s="3" t="s">
        <v>21</v>
      </c>
      <c r="G395" s="3" t="s">
        <v>22</v>
      </c>
      <c r="H395" s="3" t="s">
        <v>23</v>
      </c>
      <c r="I395" s="3" t="s">
        <v>24</v>
      </c>
      <c r="J395" s="3" t="s">
        <v>25</v>
      </c>
      <c r="K395" s="1">
        <f t="shared" si="18"/>
        <v>2</v>
      </c>
      <c r="L395" s="1" t="str">
        <f>VLOOKUP(K395,List!$B$1:$D$10,2,0)</f>
        <v>Pasivo</v>
      </c>
      <c r="M395" s="1" t="str">
        <f>VLOOKUP(K395,List!$B$1:$D$10,3,0)</f>
        <v>Balance</v>
      </c>
      <c r="N395" s="1" t="str">
        <f t="shared" si="19"/>
        <v>23</v>
      </c>
      <c r="O395" s="1" t="str">
        <f>VLOOKUP(N395,List!$F$1:$G$36,2,0)</f>
        <v xml:space="preserve">Acreedores Comerciales Y Otras Cuentas Por Pagar</v>
      </c>
      <c r="P395" s="1" t="str">
        <f t="shared" si="20"/>
        <v>2370</v>
      </c>
      <c r="Q395" s="1" t="str">
        <f>VLOOKUP(P395,PUC!$A$7:$B$869,2,0)</f>
        <v xml:space="preserve">Aportes a empresas promotoras de salud eps</v>
      </c>
      <c r="R395" s="6" t="s">
        <v>1422</v>
      </c>
      <c r="S395" s="6" t="str">
        <f>VLOOKUP(N395,List!$F:$H,3,0)</f>
        <v xml:space="preserve">Corto Termino</v>
      </c>
    </row>
    <row r="396">
      <c r="A396" s="1">
        <v>299</v>
      </c>
      <c r="B396" s="3" t="s">
        <v>553</v>
      </c>
      <c r="C396" s="3" t="s">
        <v>552</v>
      </c>
      <c r="D396" s="3" t="s">
        <v>379</v>
      </c>
      <c r="E396" s="3" t="s">
        <v>357</v>
      </c>
      <c r="F396" s="3" t="s">
        <v>21</v>
      </c>
      <c r="G396" s="3" t="s">
        <v>22</v>
      </c>
      <c r="H396" s="3" t="s">
        <v>23</v>
      </c>
      <c r="I396" s="3" t="s">
        <v>24</v>
      </c>
      <c r="J396" s="3" t="s">
        <v>25</v>
      </c>
      <c r="K396" s="1">
        <f t="shared" si="18"/>
        <v>2</v>
      </c>
      <c r="L396" s="1" t="str">
        <f>VLOOKUP(K396,List!$B$1:$D$10,2,0)</f>
        <v>Pasivo</v>
      </c>
      <c r="M396" s="1" t="str">
        <f>VLOOKUP(K396,List!$B$1:$D$10,3,0)</f>
        <v>Balance</v>
      </c>
      <c r="N396" s="1" t="str">
        <f t="shared" si="19"/>
        <v>23</v>
      </c>
      <c r="O396" s="1" t="str">
        <f>VLOOKUP(N396,List!$F$1:$G$36,2,0)</f>
        <v xml:space="preserve">Acreedores Comerciales Y Otras Cuentas Por Pagar</v>
      </c>
      <c r="P396" s="1" t="str">
        <f t="shared" si="20"/>
        <v>2370</v>
      </c>
      <c r="Q396" s="1" t="str">
        <f>VLOOKUP(P396,PUC!$A$7:$B$869,2,0)</f>
        <v xml:space="preserve">Aportes a empresas promotoras de salud eps</v>
      </c>
      <c r="R396" s="6" t="s">
        <v>1422</v>
      </c>
      <c r="S396" s="6" t="str">
        <f>VLOOKUP(N396,List!$F:$H,3,0)</f>
        <v xml:space="preserve">Corto Termino</v>
      </c>
    </row>
    <row r="397">
      <c r="A397" s="1">
        <v>301</v>
      </c>
      <c r="B397" s="3" t="s">
        <v>556</v>
      </c>
      <c r="C397" s="3" t="s">
        <v>555</v>
      </c>
      <c r="D397" s="3" t="s">
        <v>379</v>
      </c>
      <c r="E397" s="3" t="s">
        <v>357</v>
      </c>
      <c r="F397" s="3" t="s">
        <v>21</v>
      </c>
      <c r="G397" s="3" t="s">
        <v>22</v>
      </c>
      <c r="H397" s="3" t="s">
        <v>23</v>
      </c>
      <c r="I397" s="3" t="s">
        <v>24</v>
      </c>
      <c r="J397" s="3" t="s">
        <v>25</v>
      </c>
      <c r="K397" s="1">
        <f t="shared" si="18"/>
        <v>2</v>
      </c>
      <c r="L397" s="1" t="str">
        <f>VLOOKUP(K397,List!$B$1:$D$10,2,0)</f>
        <v>Pasivo</v>
      </c>
      <c r="M397" s="1" t="str">
        <f>VLOOKUP(K397,List!$B$1:$D$10,3,0)</f>
        <v>Balance</v>
      </c>
      <c r="N397" s="1" t="str">
        <f t="shared" si="19"/>
        <v>23</v>
      </c>
      <c r="O397" s="1" t="str">
        <f>VLOOKUP(N397,List!$F$1:$G$36,2,0)</f>
        <v xml:space="preserve">Acreedores Comerciales Y Otras Cuentas Por Pagar</v>
      </c>
      <c r="P397" s="1" t="str">
        <f t="shared" si="20"/>
        <v>2370</v>
      </c>
      <c r="Q397" s="1" t="str">
        <f>VLOOKUP(P397,PUC!$A$7:$B$869,2,0)</f>
        <v xml:space="preserve">Aportes a empresas promotoras de salud eps</v>
      </c>
      <c r="R397" s="6" t="s">
        <v>1422</v>
      </c>
      <c r="S397" s="6" t="str">
        <f>VLOOKUP(N397,List!$F:$H,3,0)</f>
        <v xml:space="preserve">Corto Termino</v>
      </c>
    </row>
    <row r="398">
      <c r="A398" s="1">
        <v>304</v>
      </c>
      <c r="B398" s="3" t="s">
        <v>561</v>
      </c>
      <c r="C398" s="3" t="s">
        <v>560</v>
      </c>
      <c r="D398" s="3" t="s">
        <v>379</v>
      </c>
      <c r="E398" s="3" t="s">
        <v>357</v>
      </c>
      <c r="F398" s="3" t="s">
        <v>21</v>
      </c>
      <c r="G398" s="3" t="s">
        <v>22</v>
      </c>
      <c r="H398" s="3" t="s">
        <v>23</v>
      </c>
      <c r="I398" s="3" t="s">
        <v>24</v>
      </c>
      <c r="J398" s="3" t="s">
        <v>25</v>
      </c>
      <c r="K398" s="1">
        <f t="shared" si="18"/>
        <v>2</v>
      </c>
      <c r="L398" s="1" t="str">
        <f>VLOOKUP(K398,List!$B$1:$D$10,2,0)</f>
        <v>Pasivo</v>
      </c>
      <c r="M398" s="1" t="str">
        <f>VLOOKUP(K398,List!$B$1:$D$10,3,0)</f>
        <v>Balance</v>
      </c>
      <c r="N398" s="1" t="str">
        <f t="shared" si="19"/>
        <v>23</v>
      </c>
      <c r="O398" s="1" t="str">
        <f>VLOOKUP(N398,List!$F$1:$G$36,2,0)</f>
        <v xml:space="preserve">Acreedores Comerciales Y Otras Cuentas Por Pagar</v>
      </c>
      <c r="P398" s="1" t="str">
        <f t="shared" si="20"/>
        <v>2380</v>
      </c>
      <c r="Q398" s="1" t="str">
        <f>VLOOKUP(P398,PUC!$A$7:$B$869,2,0)</f>
        <v xml:space="preserve">Acreedores varios</v>
      </c>
      <c r="R398" s="6" t="s">
        <v>1422</v>
      </c>
      <c r="S398" s="6" t="str">
        <f>VLOOKUP(N398,List!$F:$H,3,0)</f>
        <v xml:space="preserve">Corto Termino</v>
      </c>
    </row>
    <row r="399">
      <c r="A399" s="1">
        <v>306</v>
      </c>
      <c r="B399" s="3" t="s">
        <v>563</v>
      </c>
      <c r="C399" s="3" t="s">
        <v>108</v>
      </c>
      <c r="D399" s="3" t="s">
        <v>379</v>
      </c>
      <c r="E399" s="3" t="s">
        <v>357</v>
      </c>
      <c r="F399" s="3" t="s">
        <v>21</v>
      </c>
      <c r="G399" s="3" t="s">
        <v>22</v>
      </c>
      <c r="H399" s="3" t="s">
        <v>23</v>
      </c>
      <c r="I399" s="3" t="s">
        <v>24</v>
      </c>
      <c r="J399" s="3" t="s">
        <v>25</v>
      </c>
      <c r="K399" s="1">
        <f t="shared" si="18"/>
        <v>2</v>
      </c>
      <c r="L399" s="1" t="str">
        <f>VLOOKUP(K399,List!$B$1:$D$10,2,0)</f>
        <v>Pasivo</v>
      </c>
      <c r="M399" s="1" t="str">
        <f>VLOOKUP(K399,List!$B$1:$D$10,3,0)</f>
        <v>Balance</v>
      </c>
      <c r="N399" s="1" t="str">
        <f t="shared" si="19"/>
        <v>23</v>
      </c>
      <c r="O399" s="1" t="str">
        <f>VLOOKUP(N399,List!$F$1:$G$36,2,0)</f>
        <v xml:space="preserve">Acreedores Comerciales Y Otras Cuentas Por Pagar</v>
      </c>
      <c r="P399" s="1" t="str">
        <f t="shared" si="20"/>
        <v>2380</v>
      </c>
      <c r="Q399" s="1" t="str">
        <f>VLOOKUP(P399,PUC!$A$7:$B$869,2,0)</f>
        <v xml:space="preserve">Acreedores varios</v>
      </c>
      <c r="R399" s="6" t="s">
        <v>1422</v>
      </c>
      <c r="S399" s="6" t="str">
        <f>VLOOKUP(N399,List!$F:$H,3,0)</f>
        <v xml:space="preserve">Corto Termino</v>
      </c>
    </row>
    <row r="400">
      <c r="A400" s="1">
        <v>310</v>
      </c>
      <c r="B400" s="3" t="s">
        <v>570</v>
      </c>
      <c r="C400" s="3" t="s">
        <v>569</v>
      </c>
      <c r="D400" s="3" t="s">
        <v>366</v>
      </c>
      <c r="E400" s="3" t="s">
        <v>357</v>
      </c>
      <c r="F400" s="3" t="s">
        <v>21</v>
      </c>
      <c r="G400" s="3" t="s">
        <v>22</v>
      </c>
      <c r="H400" s="3" t="s">
        <v>23</v>
      </c>
      <c r="I400" s="3" t="s">
        <v>24</v>
      </c>
      <c r="J400" s="3" t="s">
        <v>25</v>
      </c>
      <c r="K400" s="1">
        <f t="shared" si="18"/>
        <v>2</v>
      </c>
      <c r="L400" s="1" t="str">
        <f>VLOOKUP(K400,List!$B$1:$D$10,2,0)</f>
        <v>Pasivo</v>
      </c>
      <c r="M400" s="1" t="str">
        <f>VLOOKUP(K400,List!$B$1:$D$10,3,0)</f>
        <v>Balance</v>
      </c>
      <c r="N400" s="1" t="str">
        <f t="shared" si="19"/>
        <v>24</v>
      </c>
      <c r="O400" s="1" t="str">
        <f>VLOOKUP(N400,List!$F$1:$G$36,2,0)</f>
        <v xml:space="preserve">Pasivos Por Impuestos</v>
      </c>
      <c r="P400" s="1" t="str">
        <f t="shared" si="20"/>
        <v>2404</v>
      </c>
      <c r="Q400" s="1" t="str">
        <f>VLOOKUP(P400,PUC!$A$7:$B$869,2,0)</f>
        <v xml:space="preserve">De renta y complementarios corriente</v>
      </c>
      <c r="R400" s="6" t="s">
        <v>1422</v>
      </c>
      <c r="S400" s="6" t="str">
        <f>VLOOKUP(N400,List!$F:$H,3,0)</f>
        <v xml:space="preserve">Corto Termino</v>
      </c>
    </row>
    <row r="401">
      <c r="A401" s="1">
        <v>313</v>
      </c>
      <c r="B401" s="3" t="s">
        <v>575</v>
      </c>
      <c r="C401" s="3" t="s">
        <v>576</v>
      </c>
      <c r="D401" s="3" t="s">
        <v>366</v>
      </c>
      <c r="E401" s="3" t="s">
        <v>357</v>
      </c>
      <c r="F401" s="3" t="s">
        <v>122</v>
      </c>
      <c r="G401" s="3" t="s">
        <v>22</v>
      </c>
      <c r="H401" s="3" t="s">
        <v>23</v>
      </c>
      <c r="I401" s="3" t="s">
        <v>24</v>
      </c>
      <c r="J401" s="3" t="s">
        <v>25</v>
      </c>
      <c r="K401" s="1">
        <f t="shared" si="18"/>
        <v>2</v>
      </c>
      <c r="L401" s="1" t="str">
        <f>VLOOKUP(K401,List!$B$1:$D$10,2,0)</f>
        <v>Pasivo</v>
      </c>
      <c r="M401" s="1" t="str">
        <f>VLOOKUP(K401,List!$B$1:$D$10,3,0)</f>
        <v>Balance</v>
      </c>
      <c r="N401" s="1" t="str">
        <f t="shared" si="19"/>
        <v>24</v>
      </c>
      <c r="O401" s="1" t="str">
        <f>VLOOKUP(N401,List!$F$1:$G$36,2,0)</f>
        <v xml:space="preserve">Pasivos Por Impuestos</v>
      </c>
      <c r="P401" s="1" t="str">
        <f t="shared" si="20"/>
        <v>2408</v>
      </c>
      <c r="Q401" s="1" t="str">
        <f>VLOOKUP(P401,PUC!$A$7:$B$869,2,0)</f>
        <v xml:space="preserve">Impuesto sobre las ventas por pagar</v>
      </c>
      <c r="R401" s="6" t="s">
        <v>1422</v>
      </c>
      <c r="S401" s="6" t="str">
        <f>VLOOKUP(N401,List!$F:$H,3,0)</f>
        <v xml:space="preserve">Corto Termino</v>
      </c>
    </row>
    <row r="402">
      <c r="A402" s="1">
        <v>314</v>
      </c>
      <c r="B402" s="3" t="s">
        <v>577</v>
      </c>
      <c r="C402" s="3" t="s">
        <v>578</v>
      </c>
      <c r="D402" s="3" t="s">
        <v>366</v>
      </c>
      <c r="E402" s="3" t="s">
        <v>357</v>
      </c>
      <c r="F402" s="3" t="s">
        <v>122</v>
      </c>
      <c r="G402" s="3" t="s">
        <v>22</v>
      </c>
      <c r="H402" s="3" t="s">
        <v>23</v>
      </c>
      <c r="I402" s="3" t="s">
        <v>24</v>
      </c>
      <c r="J402" s="3" t="s">
        <v>25</v>
      </c>
      <c r="K402" s="1">
        <f t="shared" si="18"/>
        <v>2</v>
      </c>
      <c r="L402" s="1" t="str">
        <f>VLOOKUP(K402,List!$B$1:$D$10,2,0)</f>
        <v>Pasivo</v>
      </c>
      <c r="M402" s="1" t="str">
        <f>VLOOKUP(K402,List!$B$1:$D$10,3,0)</f>
        <v>Balance</v>
      </c>
      <c r="N402" s="1" t="str">
        <f t="shared" si="19"/>
        <v>24</v>
      </c>
      <c r="O402" s="1" t="str">
        <f>VLOOKUP(N402,List!$F$1:$G$36,2,0)</f>
        <v xml:space="preserve">Pasivos Por Impuestos</v>
      </c>
      <c r="P402" s="1" t="str">
        <f t="shared" si="20"/>
        <v>2408</v>
      </c>
      <c r="Q402" s="1" t="str">
        <f>VLOOKUP(P402,PUC!$A$7:$B$869,2,0)</f>
        <v xml:space="preserve">Impuesto sobre las ventas por pagar</v>
      </c>
      <c r="R402" s="6" t="s">
        <v>1422</v>
      </c>
      <c r="S402" s="6" t="str">
        <f>VLOOKUP(N402,List!$F:$H,3,0)</f>
        <v xml:space="preserve">Corto Termino</v>
      </c>
    </row>
    <row r="403">
      <c r="A403" s="1">
        <v>316</v>
      </c>
      <c r="B403" s="3" t="s">
        <v>581</v>
      </c>
      <c r="C403" s="3" t="s">
        <v>582</v>
      </c>
      <c r="D403" s="3" t="s">
        <v>366</v>
      </c>
      <c r="E403" s="3" t="s">
        <v>357</v>
      </c>
      <c r="F403" s="3" t="s">
        <v>415</v>
      </c>
      <c r="G403" s="3" t="s">
        <v>22</v>
      </c>
      <c r="H403" s="3" t="s">
        <v>23</v>
      </c>
      <c r="I403" s="3" t="s">
        <v>24</v>
      </c>
      <c r="J403" s="3" t="s">
        <v>25</v>
      </c>
      <c r="K403" s="1">
        <f t="shared" si="18"/>
        <v>2</v>
      </c>
      <c r="L403" s="1" t="str">
        <f>VLOOKUP(K403,List!$B$1:$D$10,2,0)</f>
        <v>Pasivo</v>
      </c>
      <c r="M403" s="1" t="str">
        <f>VLOOKUP(K403,List!$B$1:$D$10,3,0)</f>
        <v>Balance</v>
      </c>
      <c r="N403" s="1" t="str">
        <f t="shared" si="19"/>
        <v>24</v>
      </c>
      <c r="O403" s="1" t="str">
        <f>VLOOKUP(N403,List!$F$1:$G$36,2,0)</f>
        <v xml:space="preserve">Pasivos Por Impuestos</v>
      </c>
      <c r="P403" s="1" t="str">
        <f t="shared" si="20"/>
        <v>2408</v>
      </c>
      <c r="Q403" s="1" t="str">
        <f>VLOOKUP(P403,PUC!$A$7:$B$869,2,0)</f>
        <v xml:space="preserve">Impuesto sobre las ventas por pagar</v>
      </c>
      <c r="R403" s="6" t="s">
        <v>1422</v>
      </c>
      <c r="S403" s="6" t="str">
        <f>VLOOKUP(N403,List!$F:$H,3,0)</f>
        <v xml:space="preserve">Corto Termino</v>
      </c>
    </row>
    <row r="404">
      <c r="A404" s="1">
        <v>317</v>
      </c>
      <c r="B404" s="3" t="s">
        <v>583</v>
      </c>
      <c r="C404" s="3" t="s">
        <v>584</v>
      </c>
      <c r="D404" s="3" t="s">
        <v>366</v>
      </c>
      <c r="E404" s="3" t="s">
        <v>357</v>
      </c>
      <c r="F404" s="3" t="s">
        <v>418</v>
      </c>
      <c r="G404" s="3" t="s">
        <v>22</v>
      </c>
      <c r="H404" s="3" t="s">
        <v>23</v>
      </c>
      <c r="I404" s="3" t="s">
        <v>24</v>
      </c>
      <c r="J404" s="3" t="s">
        <v>25</v>
      </c>
      <c r="K404" s="1">
        <f t="shared" si="18"/>
        <v>2</v>
      </c>
      <c r="L404" s="1" t="str">
        <f>VLOOKUP(K404,List!$B$1:$D$10,2,0)</f>
        <v>Pasivo</v>
      </c>
      <c r="M404" s="1" t="str">
        <f>VLOOKUP(K404,List!$B$1:$D$10,3,0)</f>
        <v>Balance</v>
      </c>
      <c r="N404" s="1" t="str">
        <f t="shared" si="19"/>
        <v>24</v>
      </c>
      <c r="O404" s="1" t="str">
        <f>VLOOKUP(N404,List!$F$1:$G$36,2,0)</f>
        <v xml:space="preserve">Pasivos Por Impuestos</v>
      </c>
      <c r="P404" s="1" t="str">
        <f t="shared" si="20"/>
        <v>2408</v>
      </c>
      <c r="Q404" s="1" t="str">
        <f>VLOOKUP(P404,PUC!$A$7:$B$869,2,0)</f>
        <v xml:space="preserve">Impuesto sobre las ventas por pagar</v>
      </c>
      <c r="R404" s="6" t="s">
        <v>1422</v>
      </c>
      <c r="S404" s="6" t="str">
        <f>VLOOKUP(N404,List!$F:$H,3,0)</f>
        <v xml:space="preserve">Corto Termino</v>
      </c>
    </row>
    <row r="405">
      <c r="A405" s="1">
        <v>318</v>
      </c>
      <c r="B405" s="3" t="s">
        <v>585</v>
      </c>
      <c r="C405" s="3" t="s">
        <v>586</v>
      </c>
      <c r="D405" s="3" t="s">
        <v>366</v>
      </c>
      <c r="E405" s="3" t="s">
        <v>357</v>
      </c>
      <c r="F405" s="3" t="s">
        <v>415</v>
      </c>
      <c r="G405" s="3" t="s">
        <v>22</v>
      </c>
      <c r="H405" s="3" t="s">
        <v>23</v>
      </c>
      <c r="I405" s="3" t="s">
        <v>24</v>
      </c>
      <c r="J405" s="3" t="s">
        <v>25</v>
      </c>
      <c r="K405" s="1">
        <f t="shared" si="18"/>
        <v>2</v>
      </c>
      <c r="L405" s="1" t="str">
        <f>VLOOKUP(K405,List!$B$1:$D$10,2,0)</f>
        <v>Pasivo</v>
      </c>
      <c r="M405" s="1" t="str">
        <f>VLOOKUP(K405,List!$B$1:$D$10,3,0)</f>
        <v>Balance</v>
      </c>
      <c r="N405" s="1" t="str">
        <f t="shared" si="19"/>
        <v>24</v>
      </c>
      <c r="O405" s="1" t="str">
        <f>VLOOKUP(N405,List!$F$1:$G$36,2,0)</f>
        <v xml:space="preserve">Pasivos Por Impuestos</v>
      </c>
      <c r="P405" s="1" t="str">
        <f t="shared" si="20"/>
        <v>2408</v>
      </c>
      <c r="Q405" s="1" t="str">
        <f>VLOOKUP(P405,PUC!$A$7:$B$869,2,0)</f>
        <v xml:space="preserve">Impuesto sobre las ventas por pagar</v>
      </c>
      <c r="R405" s="6" t="s">
        <v>1422</v>
      </c>
      <c r="S405" s="6" t="str">
        <f>VLOOKUP(N405,List!$F:$H,3,0)</f>
        <v xml:space="preserve">Corto Termino</v>
      </c>
    </row>
    <row r="406">
      <c r="A406" s="1">
        <v>319</v>
      </c>
      <c r="B406" s="3" t="s">
        <v>587</v>
      </c>
      <c r="C406" s="3" t="s">
        <v>588</v>
      </c>
      <c r="D406" s="3" t="s">
        <v>366</v>
      </c>
      <c r="E406" s="3" t="s">
        <v>357</v>
      </c>
      <c r="F406" s="3" t="s">
        <v>418</v>
      </c>
      <c r="G406" s="3" t="s">
        <v>22</v>
      </c>
      <c r="H406" s="3" t="s">
        <v>23</v>
      </c>
      <c r="I406" s="3" t="s">
        <v>24</v>
      </c>
      <c r="J406" s="3" t="s">
        <v>25</v>
      </c>
      <c r="K406" s="1">
        <f t="shared" si="18"/>
        <v>2</v>
      </c>
      <c r="L406" s="1" t="str">
        <f>VLOOKUP(K406,List!$B$1:$D$10,2,0)</f>
        <v>Pasivo</v>
      </c>
      <c r="M406" s="1" t="str">
        <f>VLOOKUP(K406,List!$B$1:$D$10,3,0)</f>
        <v>Balance</v>
      </c>
      <c r="N406" s="1" t="str">
        <f t="shared" si="19"/>
        <v>24</v>
      </c>
      <c r="O406" s="1" t="str">
        <f>VLOOKUP(N406,List!$F$1:$G$36,2,0)</f>
        <v xml:space="preserve">Pasivos Por Impuestos</v>
      </c>
      <c r="P406" s="1" t="str">
        <f t="shared" si="20"/>
        <v>2408</v>
      </c>
      <c r="Q406" s="1" t="str">
        <f>VLOOKUP(P406,PUC!$A$7:$B$869,2,0)</f>
        <v xml:space="preserve">Impuesto sobre las ventas por pagar</v>
      </c>
      <c r="R406" s="6" t="s">
        <v>1422</v>
      </c>
      <c r="S406" s="6" t="str">
        <f>VLOOKUP(N406,List!$F:$H,3,0)</f>
        <v xml:space="preserve">Corto Termino</v>
      </c>
    </row>
    <row r="407">
      <c r="A407" s="1">
        <v>321</v>
      </c>
      <c r="B407" s="3" t="s">
        <v>591</v>
      </c>
      <c r="C407" s="3" t="s">
        <v>592</v>
      </c>
      <c r="D407" s="3" t="s">
        <v>366</v>
      </c>
      <c r="E407" s="3" t="s">
        <v>357</v>
      </c>
      <c r="F407" s="3" t="s">
        <v>415</v>
      </c>
      <c r="G407" s="3" t="s">
        <v>22</v>
      </c>
      <c r="H407" s="3" t="s">
        <v>23</v>
      </c>
      <c r="I407" s="3" t="s">
        <v>24</v>
      </c>
      <c r="J407" s="3" t="s">
        <v>25</v>
      </c>
      <c r="K407" s="1">
        <f t="shared" si="18"/>
        <v>2</v>
      </c>
      <c r="L407" s="1" t="str">
        <f>VLOOKUP(K407,List!$B$1:$D$10,2,0)</f>
        <v>Pasivo</v>
      </c>
      <c r="M407" s="1" t="str">
        <f>VLOOKUP(K407,List!$B$1:$D$10,3,0)</f>
        <v>Balance</v>
      </c>
      <c r="N407" s="1" t="str">
        <f t="shared" si="19"/>
        <v>24</v>
      </c>
      <c r="O407" s="1" t="str">
        <f>VLOOKUP(N407,List!$F$1:$G$36,2,0)</f>
        <v xml:space="preserve">Pasivos Por Impuestos</v>
      </c>
      <c r="P407" s="1" t="str">
        <f t="shared" si="20"/>
        <v>2408</v>
      </c>
      <c r="Q407" s="1" t="str">
        <f>VLOOKUP(P407,PUC!$A$7:$B$869,2,0)</f>
        <v xml:space="preserve">Impuesto sobre las ventas por pagar</v>
      </c>
      <c r="R407" s="6" t="s">
        <v>1422</v>
      </c>
      <c r="S407" s="6" t="str">
        <f>VLOOKUP(N407,List!$F:$H,3,0)</f>
        <v xml:space="preserve">Corto Termino</v>
      </c>
    </row>
    <row r="408">
      <c r="A408" s="1">
        <v>323</v>
      </c>
      <c r="B408" s="3" t="s">
        <v>595</v>
      </c>
      <c r="C408" s="3" t="s">
        <v>596</v>
      </c>
      <c r="D408" s="3" t="s">
        <v>366</v>
      </c>
      <c r="E408" s="3" t="s">
        <v>357</v>
      </c>
      <c r="F408" s="3" t="s">
        <v>125</v>
      </c>
      <c r="G408" s="3" t="s">
        <v>22</v>
      </c>
      <c r="H408" s="3" t="s">
        <v>23</v>
      </c>
      <c r="I408" s="3" t="s">
        <v>24</v>
      </c>
      <c r="J408" s="3" t="s">
        <v>25</v>
      </c>
      <c r="K408" s="1">
        <f t="shared" si="18"/>
        <v>2</v>
      </c>
      <c r="L408" s="1" t="str">
        <f>VLOOKUP(K408,List!$B$1:$D$10,2,0)</f>
        <v>Pasivo</v>
      </c>
      <c r="M408" s="1" t="str">
        <f>VLOOKUP(K408,List!$B$1:$D$10,3,0)</f>
        <v>Balance</v>
      </c>
      <c r="N408" s="1" t="str">
        <f t="shared" si="19"/>
        <v>24</v>
      </c>
      <c r="O408" s="1" t="str">
        <f>VLOOKUP(N408,List!$F$1:$G$36,2,0)</f>
        <v xml:space="preserve">Pasivos Por Impuestos</v>
      </c>
      <c r="P408" s="1" t="str">
        <f t="shared" si="20"/>
        <v>2408</v>
      </c>
      <c r="Q408" s="1" t="str">
        <f>VLOOKUP(P408,PUC!$A$7:$B$869,2,0)</f>
        <v xml:space="preserve">Impuesto sobre las ventas por pagar</v>
      </c>
      <c r="R408" s="6" t="s">
        <v>1422</v>
      </c>
      <c r="S408" s="6" t="str">
        <f>VLOOKUP(N408,List!$F:$H,3,0)</f>
        <v xml:space="preserve">Corto Termino</v>
      </c>
    </row>
    <row r="409">
      <c r="A409" s="1">
        <v>324</v>
      </c>
      <c r="B409" s="3" t="s">
        <v>597</v>
      </c>
      <c r="C409" s="3" t="s">
        <v>598</v>
      </c>
      <c r="D409" s="3" t="s">
        <v>366</v>
      </c>
      <c r="E409" s="3" t="s">
        <v>357</v>
      </c>
      <c r="F409" s="3" t="s">
        <v>125</v>
      </c>
      <c r="G409" s="3" t="s">
        <v>22</v>
      </c>
      <c r="H409" s="3" t="s">
        <v>23</v>
      </c>
      <c r="I409" s="3" t="s">
        <v>24</v>
      </c>
      <c r="J409" s="3" t="s">
        <v>25</v>
      </c>
      <c r="K409" s="1">
        <f t="shared" si="18"/>
        <v>2</v>
      </c>
      <c r="L409" s="1" t="str">
        <f>VLOOKUP(K409,List!$B$1:$D$10,2,0)</f>
        <v>Pasivo</v>
      </c>
      <c r="M409" s="1" t="str">
        <f>VLOOKUP(K409,List!$B$1:$D$10,3,0)</f>
        <v>Balance</v>
      </c>
      <c r="N409" s="1" t="str">
        <f t="shared" si="19"/>
        <v>24</v>
      </c>
      <c r="O409" s="1" t="str">
        <f>VLOOKUP(N409,List!$F$1:$G$36,2,0)</f>
        <v xml:space="preserve">Pasivos Por Impuestos</v>
      </c>
      <c r="P409" s="1" t="str">
        <f t="shared" si="20"/>
        <v>2408</v>
      </c>
      <c r="Q409" s="1" t="str">
        <f>VLOOKUP(P409,PUC!$A$7:$B$869,2,0)</f>
        <v xml:space="preserve">Impuesto sobre las ventas por pagar</v>
      </c>
      <c r="R409" s="6" t="s">
        <v>1422</v>
      </c>
      <c r="S409" s="6" t="str">
        <f>VLOOKUP(N409,List!$F:$H,3,0)</f>
        <v xml:space="preserve">Corto Termino</v>
      </c>
    </row>
    <row r="410">
      <c r="A410" s="1">
        <v>326</v>
      </c>
      <c r="B410" s="3" t="s">
        <v>601</v>
      </c>
      <c r="C410" s="3" t="s">
        <v>600</v>
      </c>
      <c r="D410" s="3" t="s">
        <v>366</v>
      </c>
      <c r="E410" s="3" t="s">
        <v>357</v>
      </c>
      <c r="F410" s="3" t="s">
        <v>21</v>
      </c>
      <c r="G410" s="3" t="s">
        <v>22</v>
      </c>
      <c r="H410" s="3" t="s">
        <v>23</v>
      </c>
      <c r="I410" s="3" t="s">
        <v>24</v>
      </c>
      <c r="J410" s="3" t="s">
        <v>25</v>
      </c>
      <c r="K410" s="1">
        <f t="shared" si="18"/>
        <v>2</v>
      </c>
      <c r="L410" s="1" t="str">
        <f>VLOOKUP(K410,List!$B$1:$D$10,2,0)</f>
        <v>Pasivo</v>
      </c>
      <c r="M410" s="1" t="str">
        <f>VLOOKUP(K410,List!$B$1:$D$10,3,0)</f>
        <v>Balance</v>
      </c>
      <c r="N410" s="1" t="str">
        <f t="shared" si="19"/>
        <v>24</v>
      </c>
      <c r="O410" s="1" t="str">
        <f>VLOOKUP(N410,List!$F$1:$G$36,2,0)</f>
        <v xml:space="preserve">Pasivos Por Impuestos</v>
      </c>
      <c r="P410" s="1" t="str">
        <f t="shared" si="20"/>
        <v>2408</v>
      </c>
      <c r="Q410" s="1" t="str">
        <f>VLOOKUP(P410,PUC!$A$7:$B$869,2,0)</f>
        <v xml:space="preserve">Impuesto sobre las ventas por pagar</v>
      </c>
      <c r="R410" s="6" t="s">
        <v>1422</v>
      </c>
      <c r="S410" s="6" t="str">
        <f>VLOOKUP(N410,List!$F:$H,3,0)</f>
        <v xml:space="preserve">Corto Termino</v>
      </c>
    </row>
    <row r="411">
      <c r="A411" s="1">
        <v>327</v>
      </c>
      <c r="B411" s="3" t="s">
        <v>602</v>
      </c>
      <c r="C411" s="3" t="s">
        <v>603</v>
      </c>
      <c r="D411" s="3" t="s">
        <v>405</v>
      </c>
      <c r="E411" s="3" t="s">
        <v>357</v>
      </c>
      <c r="F411" s="3" t="s">
        <v>21</v>
      </c>
      <c r="G411" s="3" t="s">
        <v>95</v>
      </c>
      <c r="H411" s="3" t="s">
        <v>23</v>
      </c>
      <c r="I411" s="3" t="s">
        <v>24</v>
      </c>
      <c r="J411" s="3" t="s">
        <v>25</v>
      </c>
      <c r="K411" s="1">
        <f t="shared" si="18"/>
        <v>2</v>
      </c>
      <c r="L411" s="1" t="str">
        <f>VLOOKUP(K411,List!$B$1:$D$10,2,0)</f>
        <v>Pasivo</v>
      </c>
      <c r="M411" s="1" t="str">
        <f>VLOOKUP(K411,List!$B$1:$D$10,3,0)</f>
        <v>Balance</v>
      </c>
      <c r="N411" s="1" t="str">
        <f t="shared" si="19"/>
        <v>24</v>
      </c>
      <c r="O411" s="1" t="str">
        <f>VLOOKUP(N411,List!$F$1:$G$36,2,0)</f>
        <v xml:space="preserve">Pasivos Por Impuestos</v>
      </c>
      <c r="P411" s="1" t="str">
        <f t="shared" si="20"/>
        <v>2408</v>
      </c>
      <c r="Q411" s="1" t="str">
        <f>VLOOKUP(P411,PUC!$A$7:$B$869,2,0)</f>
        <v xml:space="preserve">Impuesto sobre las ventas por pagar</v>
      </c>
      <c r="R411" s="6" t="s">
        <v>1422</v>
      </c>
      <c r="S411" s="6" t="str">
        <f>VLOOKUP(N411,List!$F:$H,3,0)</f>
        <v xml:space="preserve">Corto Termino</v>
      </c>
    </row>
    <row r="412">
      <c r="A412" s="1">
        <v>329</v>
      </c>
      <c r="B412" s="3" t="s">
        <v>606</v>
      </c>
      <c r="C412" s="3" t="s">
        <v>607</v>
      </c>
      <c r="D412" s="3" t="s">
        <v>80</v>
      </c>
      <c r="E412" s="3" t="s">
        <v>357</v>
      </c>
      <c r="F412" s="3" t="s">
        <v>122</v>
      </c>
      <c r="G412" s="3" t="s">
        <v>22</v>
      </c>
      <c r="H412" s="3" t="s">
        <v>23</v>
      </c>
      <c r="I412" s="3" t="s">
        <v>24</v>
      </c>
      <c r="J412" s="3" t="s">
        <v>25</v>
      </c>
      <c r="K412" s="1">
        <f t="shared" si="18"/>
        <v>2</v>
      </c>
      <c r="L412" s="1" t="str">
        <f>VLOOKUP(K412,List!$B$1:$D$10,2,0)</f>
        <v>Pasivo</v>
      </c>
      <c r="M412" s="1" t="str">
        <f>VLOOKUP(K412,List!$B$1:$D$10,3,0)</f>
        <v>Balance</v>
      </c>
      <c r="N412" s="1" t="str">
        <f t="shared" si="19"/>
        <v>24</v>
      </c>
      <c r="O412" s="1" t="str">
        <f>VLOOKUP(N412,List!$F$1:$G$36,2,0)</f>
        <v xml:space="preserve">Pasivos Por Impuestos</v>
      </c>
      <c r="P412" s="1" t="str">
        <f t="shared" si="20"/>
        <v>2464</v>
      </c>
      <c r="Q412" s="1" t="str">
        <f>VLOOKUP(P412,PUC!$A$7:$B$869,2,0)</f>
        <v xml:space="preserve">De licores, cervezas y cigarrillos</v>
      </c>
      <c r="R412" s="6" t="s">
        <v>1422</v>
      </c>
      <c r="S412" s="6" t="str">
        <f>VLOOKUP(N412,List!$F:$H,3,0)</f>
        <v xml:space="preserve">Corto Termino</v>
      </c>
    </row>
    <row r="413">
      <c r="A413" s="1">
        <v>330</v>
      </c>
      <c r="B413" s="3" t="s">
        <v>608</v>
      </c>
      <c r="C413" s="3" t="s">
        <v>609</v>
      </c>
      <c r="D413" s="3" t="s">
        <v>366</v>
      </c>
      <c r="E413" s="3" t="s">
        <v>357</v>
      </c>
      <c r="F413" s="3" t="s">
        <v>125</v>
      </c>
      <c r="G413" s="3" t="s">
        <v>22</v>
      </c>
      <c r="H413" s="3" t="s">
        <v>23</v>
      </c>
      <c r="I413" s="3" t="s">
        <v>24</v>
      </c>
      <c r="J413" s="3" t="s">
        <v>25</v>
      </c>
      <c r="K413" s="1">
        <f t="shared" si="18"/>
        <v>2</v>
      </c>
      <c r="L413" s="1" t="str">
        <f>VLOOKUP(K413,List!$B$1:$D$10,2,0)</f>
        <v>Pasivo</v>
      </c>
      <c r="M413" s="1" t="str">
        <f>VLOOKUP(K413,List!$B$1:$D$10,3,0)</f>
        <v>Balance</v>
      </c>
      <c r="N413" s="1" t="str">
        <f t="shared" si="19"/>
        <v>24</v>
      </c>
      <c r="O413" s="1" t="str">
        <f>VLOOKUP(N413,List!$F$1:$G$36,2,0)</f>
        <v xml:space="preserve">Pasivos Por Impuestos</v>
      </c>
      <c r="P413" s="1" t="str">
        <f t="shared" si="20"/>
        <v>2464</v>
      </c>
      <c r="Q413" s="1" t="str">
        <f>VLOOKUP(P413,PUC!$A$7:$B$869,2,0)</f>
        <v xml:space="preserve">De licores, cervezas y cigarrillos</v>
      </c>
      <c r="R413" s="6" t="s">
        <v>1422</v>
      </c>
      <c r="S413" s="6" t="str">
        <f>VLOOKUP(N413,List!$F:$H,3,0)</f>
        <v xml:space="preserve">Corto Termino</v>
      </c>
    </row>
    <row r="414">
      <c r="A414" s="1">
        <v>331</v>
      </c>
      <c r="B414" s="3" t="s">
        <v>610</v>
      </c>
      <c r="C414" s="3" t="s">
        <v>611</v>
      </c>
      <c r="D414" s="3" t="s">
        <v>80</v>
      </c>
      <c r="E414" s="3" t="s">
        <v>357</v>
      </c>
      <c r="F414" s="3" t="s">
        <v>415</v>
      </c>
      <c r="G414" s="3" t="s">
        <v>22</v>
      </c>
      <c r="H414" s="3" t="s">
        <v>23</v>
      </c>
      <c r="I414" s="3" t="s">
        <v>24</v>
      </c>
      <c r="J414" s="3" t="s">
        <v>25</v>
      </c>
      <c r="K414" s="1">
        <f t="shared" si="18"/>
        <v>2</v>
      </c>
      <c r="L414" s="1" t="str">
        <f>VLOOKUP(K414,List!$B$1:$D$10,2,0)</f>
        <v>Pasivo</v>
      </c>
      <c r="M414" s="1" t="str">
        <f>VLOOKUP(K414,List!$B$1:$D$10,3,0)</f>
        <v>Balance</v>
      </c>
      <c r="N414" s="1" t="str">
        <f t="shared" si="19"/>
        <v>24</v>
      </c>
      <c r="O414" s="1" t="str">
        <f>VLOOKUP(N414,List!$F$1:$G$36,2,0)</f>
        <v xml:space="preserve">Pasivos Por Impuestos</v>
      </c>
      <c r="P414" s="1" t="str">
        <f t="shared" si="20"/>
        <v>2464</v>
      </c>
      <c r="Q414" s="1" t="str">
        <f>VLOOKUP(P414,PUC!$A$7:$B$869,2,0)</f>
        <v xml:space="preserve">De licores, cervezas y cigarrillos</v>
      </c>
      <c r="R414" s="6" t="s">
        <v>1422</v>
      </c>
      <c r="S414" s="6" t="str">
        <f>VLOOKUP(N414,List!$F:$H,3,0)</f>
        <v xml:space="preserve">Corto Termino</v>
      </c>
    </row>
    <row r="415">
      <c r="A415" s="1">
        <v>332</v>
      </c>
      <c r="B415" s="3" t="s">
        <v>612</v>
      </c>
      <c r="C415" s="3" t="s">
        <v>613</v>
      </c>
      <c r="D415" s="3" t="s">
        <v>366</v>
      </c>
      <c r="E415" s="3" t="s">
        <v>357</v>
      </c>
      <c r="F415" s="3" t="s">
        <v>418</v>
      </c>
      <c r="G415" s="3" t="s">
        <v>22</v>
      </c>
      <c r="H415" s="3" t="s">
        <v>23</v>
      </c>
      <c r="I415" s="3" t="s">
        <v>24</v>
      </c>
      <c r="J415" s="3" t="s">
        <v>25</v>
      </c>
      <c r="K415" s="1">
        <f t="shared" si="18"/>
        <v>2</v>
      </c>
      <c r="L415" s="1" t="str">
        <f>VLOOKUP(K415,List!$B$1:$D$10,2,0)</f>
        <v>Pasivo</v>
      </c>
      <c r="M415" s="1" t="str">
        <f>VLOOKUP(K415,List!$B$1:$D$10,3,0)</f>
        <v>Balance</v>
      </c>
      <c r="N415" s="1" t="str">
        <f t="shared" si="19"/>
        <v>24</v>
      </c>
      <c r="O415" s="1" t="str">
        <f>VLOOKUP(N415,List!$F$1:$G$36,2,0)</f>
        <v xml:space="preserve">Pasivos Por Impuestos</v>
      </c>
      <c r="P415" s="1" t="str">
        <f t="shared" si="20"/>
        <v>2464</v>
      </c>
      <c r="Q415" s="1" t="str">
        <f>VLOOKUP(P415,PUC!$A$7:$B$869,2,0)</f>
        <v xml:space="preserve">De licores, cervezas y cigarrillos</v>
      </c>
      <c r="R415" s="6" t="s">
        <v>1422</v>
      </c>
      <c r="S415" s="6" t="str">
        <f>VLOOKUP(N415,List!$F:$H,3,0)</f>
        <v xml:space="preserve">Corto Termino</v>
      </c>
    </row>
    <row r="416">
      <c r="A416" s="1">
        <v>335</v>
      </c>
      <c r="B416" s="3" t="s">
        <v>617</v>
      </c>
      <c r="C416" s="3" t="s">
        <v>618</v>
      </c>
      <c r="D416" s="3" t="s">
        <v>80</v>
      </c>
      <c r="E416" s="3" t="s">
        <v>357</v>
      </c>
      <c r="F416" s="3" t="s">
        <v>122</v>
      </c>
      <c r="G416" s="3" t="s">
        <v>22</v>
      </c>
      <c r="H416" s="3" t="s">
        <v>23</v>
      </c>
      <c r="I416" s="3" t="s">
        <v>24</v>
      </c>
      <c r="J416" s="3" t="s">
        <v>25</v>
      </c>
      <c r="K416" s="1">
        <f t="shared" si="18"/>
        <v>2</v>
      </c>
      <c r="L416" s="1" t="str">
        <f>VLOOKUP(K416,List!$B$1:$D$10,2,0)</f>
        <v>Pasivo</v>
      </c>
      <c r="M416" s="1" t="str">
        <f>VLOOKUP(K416,List!$B$1:$D$10,3,0)</f>
        <v>Balance</v>
      </c>
      <c r="N416" s="1" t="str">
        <f t="shared" si="19"/>
        <v>24</v>
      </c>
      <c r="O416" s="1" t="str">
        <f>VLOOKUP(N416,List!$F$1:$G$36,2,0)</f>
        <v xml:space="preserve">Pasivos Por Impuestos</v>
      </c>
      <c r="P416" s="1" t="str">
        <f t="shared" si="20"/>
        <v>2495</v>
      </c>
      <c r="Q416" s="1" t="str">
        <f>VLOOKUP(P416,PUC!$A$7:$B$869,2,0)</f>
        <v>Otros</v>
      </c>
      <c r="R416" s="6" t="s">
        <v>1422</v>
      </c>
      <c r="S416" s="6" t="str">
        <f>VLOOKUP(N416,List!$F:$H,3,0)</f>
        <v xml:space="preserve">Corto Termino</v>
      </c>
    </row>
    <row r="417">
      <c r="A417" s="1">
        <v>336</v>
      </c>
      <c r="B417" s="3" t="s">
        <v>619</v>
      </c>
      <c r="C417" s="3" t="s">
        <v>620</v>
      </c>
      <c r="D417" s="3" t="s">
        <v>366</v>
      </c>
      <c r="E417" s="3" t="s">
        <v>357</v>
      </c>
      <c r="F417" s="3" t="s">
        <v>125</v>
      </c>
      <c r="G417" s="3" t="s">
        <v>22</v>
      </c>
      <c r="H417" s="3" t="s">
        <v>23</v>
      </c>
      <c r="I417" s="3" t="s">
        <v>24</v>
      </c>
      <c r="J417" s="3" t="s">
        <v>25</v>
      </c>
      <c r="K417" s="1">
        <f t="shared" si="18"/>
        <v>2</v>
      </c>
      <c r="L417" s="1" t="str">
        <f>VLOOKUP(K417,List!$B$1:$D$10,2,0)</f>
        <v>Pasivo</v>
      </c>
      <c r="M417" s="1" t="str">
        <f>VLOOKUP(K417,List!$B$1:$D$10,3,0)</f>
        <v>Balance</v>
      </c>
      <c r="N417" s="1" t="str">
        <f t="shared" si="19"/>
        <v>24</v>
      </c>
      <c r="O417" s="1" t="str">
        <f>VLOOKUP(N417,List!$F$1:$G$36,2,0)</f>
        <v xml:space="preserve">Pasivos Por Impuestos</v>
      </c>
      <c r="P417" s="1" t="str">
        <f t="shared" si="20"/>
        <v>2495</v>
      </c>
      <c r="Q417" s="1" t="str">
        <f>VLOOKUP(P417,PUC!$A$7:$B$869,2,0)</f>
        <v>Otros</v>
      </c>
      <c r="R417" s="6" t="s">
        <v>1422</v>
      </c>
      <c r="S417" s="6" t="str">
        <f>VLOOKUP(N417,List!$F:$H,3,0)</f>
        <v xml:space="preserve">Corto Termino</v>
      </c>
    </row>
    <row r="418">
      <c r="A418" s="1">
        <v>337</v>
      </c>
      <c r="B418" s="3" t="s">
        <v>621</v>
      </c>
      <c r="C418" s="3" t="s">
        <v>622</v>
      </c>
      <c r="D418" s="3" t="s">
        <v>80</v>
      </c>
      <c r="E418" s="3" t="s">
        <v>357</v>
      </c>
      <c r="F418" s="3" t="s">
        <v>415</v>
      </c>
      <c r="G418" s="3" t="s">
        <v>22</v>
      </c>
      <c r="H418" s="3" t="s">
        <v>23</v>
      </c>
      <c r="I418" s="3" t="s">
        <v>24</v>
      </c>
      <c r="J418" s="3" t="s">
        <v>25</v>
      </c>
      <c r="K418" s="1">
        <f t="shared" si="18"/>
        <v>2</v>
      </c>
      <c r="L418" s="1" t="str">
        <f>VLOOKUP(K418,List!$B$1:$D$10,2,0)</f>
        <v>Pasivo</v>
      </c>
      <c r="M418" s="1" t="str">
        <f>VLOOKUP(K418,List!$B$1:$D$10,3,0)</f>
        <v>Balance</v>
      </c>
      <c r="N418" s="1" t="str">
        <f t="shared" si="19"/>
        <v>24</v>
      </c>
      <c r="O418" s="1" t="str">
        <f>VLOOKUP(N418,List!$F$1:$G$36,2,0)</f>
        <v xml:space="preserve">Pasivos Por Impuestos</v>
      </c>
      <c r="P418" s="1" t="str">
        <f t="shared" si="20"/>
        <v>2495</v>
      </c>
      <c r="Q418" s="1" t="str">
        <f>VLOOKUP(P418,PUC!$A$7:$B$869,2,0)</f>
        <v>Otros</v>
      </c>
      <c r="R418" s="6" t="s">
        <v>1422</v>
      </c>
      <c r="S418" s="6" t="str">
        <f>VLOOKUP(N418,List!$F:$H,3,0)</f>
        <v xml:space="preserve">Corto Termino</v>
      </c>
    </row>
    <row r="419">
      <c r="A419" s="1">
        <v>338</v>
      </c>
      <c r="B419" s="3" t="s">
        <v>623</v>
      </c>
      <c r="C419" s="3" t="s">
        <v>624</v>
      </c>
      <c r="D419" s="3" t="s">
        <v>366</v>
      </c>
      <c r="E419" s="3" t="s">
        <v>357</v>
      </c>
      <c r="F419" s="3" t="s">
        <v>418</v>
      </c>
      <c r="G419" s="3" t="s">
        <v>22</v>
      </c>
      <c r="H419" s="3" t="s">
        <v>23</v>
      </c>
      <c r="I419" s="3" t="s">
        <v>24</v>
      </c>
      <c r="J419" s="3" t="s">
        <v>25</v>
      </c>
      <c r="K419" s="1">
        <f t="shared" si="18"/>
        <v>2</v>
      </c>
      <c r="L419" s="1" t="str">
        <f>VLOOKUP(K419,List!$B$1:$D$10,2,0)</f>
        <v>Pasivo</v>
      </c>
      <c r="M419" s="1" t="str">
        <f>VLOOKUP(K419,List!$B$1:$D$10,3,0)</f>
        <v>Balance</v>
      </c>
      <c r="N419" s="1" t="str">
        <f t="shared" si="19"/>
        <v>24</v>
      </c>
      <c r="O419" s="1" t="str">
        <f>VLOOKUP(N419,List!$F$1:$G$36,2,0)</f>
        <v xml:space="preserve">Pasivos Por Impuestos</v>
      </c>
      <c r="P419" s="1" t="str">
        <f t="shared" si="20"/>
        <v>2495</v>
      </c>
      <c r="Q419" s="1" t="str">
        <f>VLOOKUP(P419,PUC!$A$7:$B$869,2,0)</f>
        <v>Otros</v>
      </c>
      <c r="R419" s="6" t="s">
        <v>1422</v>
      </c>
      <c r="S419" s="6" t="str">
        <f>VLOOKUP(N419,List!$F:$H,3,0)</f>
        <v xml:space="preserve">Corto Termino</v>
      </c>
    </row>
    <row r="420">
      <c r="A420" s="1">
        <v>339</v>
      </c>
      <c r="B420" s="3" t="s">
        <v>625</v>
      </c>
      <c r="C420" s="3" t="s">
        <v>202</v>
      </c>
      <c r="D420" s="3" t="s">
        <v>405</v>
      </c>
      <c r="E420" s="3" t="s">
        <v>357</v>
      </c>
      <c r="F420" s="3" t="s">
        <v>21</v>
      </c>
      <c r="G420" s="3" t="s">
        <v>95</v>
      </c>
      <c r="H420" s="3" t="s">
        <v>23</v>
      </c>
      <c r="I420" s="3" t="s">
        <v>24</v>
      </c>
      <c r="J420" s="3" t="s">
        <v>25</v>
      </c>
      <c r="K420" s="1">
        <f t="shared" si="18"/>
        <v>2</v>
      </c>
      <c r="L420" s="1" t="str">
        <f>VLOOKUP(K420,List!$B$1:$D$10,2,0)</f>
        <v>Pasivo</v>
      </c>
      <c r="M420" s="1" t="str">
        <f>VLOOKUP(K420,List!$B$1:$D$10,3,0)</f>
        <v>Balance</v>
      </c>
      <c r="N420" s="1" t="str">
        <f t="shared" si="19"/>
        <v>24</v>
      </c>
      <c r="O420" s="1" t="str">
        <f>VLOOKUP(N420,List!$F$1:$G$36,2,0)</f>
        <v xml:space="preserve">Pasivos Por Impuestos</v>
      </c>
      <c r="P420" s="1" t="str">
        <f t="shared" si="20"/>
        <v>2495</v>
      </c>
      <c r="Q420" s="1" t="str">
        <f>VLOOKUP(P420,PUC!$A$7:$B$869,2,0)</f>
        <v>Otros</v>
      </c>
      <c r="R420" s="6" t="s">
        <v>1422</v>
      </c>
      <c r="S420" s="6" t="str">
        <f>VLOOKUP(N420,List!$F:$H,3,0)</f>
        <v xml:space="preserve">Corto Termino</v>
      </c>
    </row>
    <row r="421">
      <c r="A421" s="1">
        <v>343</v>
      </c>
      <c r="B421" s="3" t="s">
        <v>631</v>
      </c>
      <c r="C421" s="3" t="s">
        <v>629</v>
      </c>
      <c r="D421" s="3" t="s">
        <v>366</v>
      </c>
      <c r="E421" s="3" t="s">
        <v>357</v>
      </c>
      <c r="F421" s="3" t="s">
        <v>21</v>
      </c>
      <c r="G421" s="3" t="s">
        <v>22</v>
      </c>
      <c r="H421" s="3" t="s">
        <v>23</v>
      </c>
      <c r="I421" s="3" t="s">
        <v>24</v>
      </c>
      <c r="J421" s="3" t="s">
        <v>25</v>
      </c>
      <c r="K421" s="1">
        <f t="shared" si="18"/>
        <v>2</v>
      </c>
      <c r="L421" s="1" t="str">
        <f>VLOOKUP(K421,List!$B$1:$D$10,2,0)</f>
        <v>Pasivo</v>
      </c>
      <c r="M421" s="1" t="str">
        <f>VLOOKUP(K421,List!$B$1:$D$10,3,0)</f>
        <v>Balance</v>
      </c>
      <c r="N421" s="1" t="str">
        <f t="shared" si="19"/>
        <v>25</v>
      </c>
      <c r="O421" s="1" t="str">
        <f>VLOOKUP(N421,List!$F$1:$G$36,2,0)</f>
        <v xml:space="preserve">Beneficios A Empleados</v>
      </c>
      <c r="P421" s="1" t="str">
        <f t="shared" si="20"/>
        <v>2505</v>
      </c>
      <c r="Q421" s="1" t="str">
        <f>VLOOKUP(P421,PUC!$A$7:$B$869,2,0)</f>
        <v xml:space="preserve">Salarios por pagar</v>
      </c>
      <c r="R421" s="6" t="s">
        <v>1422</v>
      </c>
      <c r="S421" s="6" t="str">
        <f>VLOOKUP(N421,List!$F:$H,3,0)</f>
        <v xml:space="preserve">Corto Termino</v>
      </c>
    </row>
    <row r="422">
      <c r="A422" s="1">
        <v>347</v>
      </c>
      <c r="B422" s="3" t="s">
        <v>637</v>
      </c>
      <c r="C422" s="3" t="s">
        <v>636</v>
      </c>
      <c r="D422" s="3" t="s">
        <v>366</v>
      </c>
      <c r="E422" s="3" t="s">
        <v>357</v>
      </c>
      <c r="F422" s="3" t="s">
        <v>21</v>
      </c>
      <c r="G422" s="3" t="s">
        <v>22</v>
      </c>
      <c r="H422" s="3" t="s">
        <v>23</v>
      </c>
      <c r="I422" s="3" t="s">
        <v>24</v>
      </c>
      <c r="J422" s="3" t="s">
        <v>25</v>
      </c>
      <c r="K422" s="1">
        <f t="shared" si="18"/>
        <v>2</v>
      </c>
      <c r="L422" s="1" t="str">
        <f>VLOOKUP(K422,List!$B$1:$D$10,2,0)</f>
        <v>Pasivo</v>
      </c>
      <c r="M422" s="1" t="str">
        <f>VLOOKUP(K422,List!$B$1:$D$10,3,0)</f>
        <v>Balance</v>
      </c>
      <c r="N422" s="1" t="str">
        <f t="shared" si="19"/>
        <v>25</v>
      </c>
      <c r="O422" s="1" t="str">
        <f>VLOOKUP(N422,List!$F$1:$G$36,2,0)</f>
        <v xml:space="preserve">Beneficios A Empleados</v>
      </c>
      <c r="P422" s="1" t="str">
        <f t="shared" si="20"/>
        <v>2510</v>
      </c>
      <c r="Q422" s="1" t="str">
        <f>VLOOKUP(P422,PUC!$A$7:$B$869,2,0)</f>
        <v xml:space="preserve">Pasivo estimado para obligaciones laborales</v>
      </c>
      <c r="R422" s="6" t="s">
        <v>1422</v>
      </c>
      <c r="S422" s="6" t="str">
        <f>VLOOKUP(N422,List!$F:$H,3,0)</f>
        <v xml:space="preserve">Corto Termino</v>
      </c>
    </row>
    <row r="423">
      <c r="A423" s="1">
        <v>348</v>
      </c>
      <c r="B423" s="3" t="s">
        <v>638</v>
      </c>
      <c r="C423" s="3" t="s">
        <v>636</v>
      </c>
      <c r="D423" s="3" t="s">
        <v>366</v>
      </c>
      <c r="E423" s="3" t="s">
        <v>357</v>
      </c>
      <c r="F423" s="3" t="s">
        <v>21</v>
      </c>
      <c r="G423" s="3" t="s">
        <v>22</v>
      </c>
      <c r="H423" s="3" t="s">
        <v>23</v>
      </c>
      <c r="I423" s="3" t="s">
        <v>24</v>
      </c>
      <c r="J423" s="3" t="s">
        <v>25</v>
      </c>
      <c r="K423" s="1">
        <f t="shared" si="18"/>
        <v>2</v>
      </c>
      <c r="L423" s="1" t="str">
        <f>VLOOKUP(K423,List!$B$1:$D$10,2,0)</f>
        <v>Pasivo</v>
      </c>
      <c r="M423" s="1" t="str">
        <f>VLOOKUP(K423,List!$B$1:$D$10,3,0)</f>
        <v>Balance</v>
      </c>
      <c r="N423" s="1" t="str">
        <f t="shared" si="19"/>
        <v>25</v>
      </c>
      <c r="O423" s="1" t="str">
        <f>VLOOKUP(N423,List!$F$1:$G$36,2,0)</f>
        <v xml:space="preserve">Beneficios A Empleados</v>
      </c>
      <c r="P423" s="1" t="str">
        <f t="shared" si="20"/>
        <v>2510</v>
      </c>
      <c r="Q423" s="1" t="str">
        <f>VLOOKUP(P423,PUC!$A$7:$B$869,2,0)</f>
        <v xml:space="preserve">Pasivo estimado para obligaciones laborales</v>
      </c>
      <c r="R423" s="6" t="s">
        <v>1422</v>
      </c>
      <c r="S423" s="6" t="str">
        <f>VLOOKUP(N423,List!$F:$H,3,0)</f>
        <v xml:space="preserve">Corto Termino</v>
      </c>
    </row>
    <row r="424">
      <c r="A424" s="1">
        <v>350</v>
      </c>
      <c r="B424" s="3" t="s">
        <v>641</v>
      </c>
      <c r="C424" s="3" t="s">
        <v>640</v>
      </c>
      <c r="D424" s="3" t="s">
        <v>366</v>
      </c>
      <c r="E424" s="3" t="s">
        <v>357</v>
      </c>
      <c r="F424" s="3" t="s">
        <v>21</v>
      </c>
      <c r="G424" s="3" t="s">
        <v>22</v>
      </c>
      <c r="H424" s="3" t="s">
        <v>23</v>
      </c>
      <c r="I424" s="3" t="s">
        <v>24</v>
      </c>
      <c r="J424" s="3" t="s">
        <v>25</v>
      </c>
      <c r="K424" s="1">
        <f t="shared" si="18"/>
        <v>2</v>
      </c>
      <c r="L424" s="1" t="str">
        <f>VLOOKUP(K424,List!$B$1:$D$10,2,0)</f>
        <v>Pasivo</v>
      </c>
      <c r="M424" s="1" t="str">
        <f>VLOOKUP(K424,List!$B$1:$D$10,3,0)</f>
        <v>Balance</v>
      </c>
      <c r="N424" s="1" t="str">
        <f t="shared" si="19"/>
        <v>25</v>
      </c>
      <c r="O424" s="1" t="str">
        <f>VLOOKUP(N424,List!$F$1:$G$36,2,0)</f>
        <v xml:space="preserve">Beneficios A Empleados</v>
      </c>
      <c r="P424" s="1" t="str">
        <f t="shared" si="20"/>
        <v>2510</v>
      </c>
      <c r="Q424" s="1" t="str">
        <f>VLOOKUP(P424,PUC!$A$7:$B$869,2,0)</f>
        <v xml:space="preserve">Pasivo estimado para obligaciones laborales</v>
      </c>
      <c r="R424" s="6" t="s">
        <v>1422</v>
      </c>
      <c r="S424" s="6" t="str">
        <f>VLOOKUP(N424,List!$F:$H,3,0)</f>
        <v xml:space="preserve">Corto Termino</v>
      </c>
    </row>
    <row r="425">
      <c r="A425" s="1">
        <v>351</v>
      </c>
      <c r="B425" s="3" t="s">
        <v>642</v>
      </c>
      <c r="C425" s="3" t="s">
        <v>640</v>
      </c>
      <c r="D425" s="3" t="s">
        <v>366</v>
      </c>
      <c r="E425" s="3" t="s">
        <v>357</v>
      </c>
      <c r="F425" s="3" t="s">
        <v>21</v>
      </c>
      <c r="G425" s="3" t="s">
        <v>22</v>
      </c>
      <c r="H425" s="3" t="s">
        <v>23</v>
      </c>
      <c r="I425" s="3" t="s">
        <v>24</v>
      </c>
      <c r="J425" s="3" t="s">
        <v>25</v>
      </c>
      <c r="K425" s="1">
        <f t="shared" si="18"/>
        <v>2</v>
      </c>
      <c r="L425" s="1" t="str">
        <f>VLOOKUP(K425,List!$B$1:$D$10,2,0)</f>
        <v>Pasivo</v>
      </c>
      <c r="M425" s="1" t="str">
        <f>VLOOKUP(K425,List!$B$1:$D$10,3,0)</f>
        <v>Balance</v>
      </c>
      <c r="N425" s="1" t="str">
        <f t="shared" si="19"/>
        <v>25</v>
      </c>
      <c r="O425" s="1" t="str">
        <f>VLOOKUP(N425,List!$F$1:$G$36,2,0)</f>
        <v xml:space="preserve">Beneficios A Empleados</v>
      </c>
      <c r="P425" s="1" t="str">
        <f t="shared" si="20"/>
        <v>2510</v>
      </c>
      <c r="Q425" s="1" t="str">
        <f>VLOOKUP(P425,PUC!$A$7:$B$869,2,0)</f>
        <v xml:space="preserve">Pasivo estimado para obligaciones laborales</v>
      </c>
      <c r="R425" s="6" t="s">
        <v>1422</v>
      </c>
      <c r="S425" s="6" t="str">
        <f>VLOOKUP(N425,List!$F:$H,3,0)</f>
        <v xml:space="preserve">Corto Termino</v>
      </c>
    </row>
    <row r="426">
      <c r="A426" s="1">
        <v>353</v>
      </c>
      <c r="B426" s="3" t="s">
        <v>645</v>
      </c>
      <c r="C426" s="3" t="s">
        <v>644</v>
      </c>
      <c r="D426" s="3" t="s">
        <v>366</v>
      </c>
      <c r="E426" s="3" t="s">
        <v>357</v>
      </c>
      <c r="F426" s="3" t="s">
        <v>21</v>
      </c>
      <c r="G426" s="3" t="s">
        <v>22</v>
      </c>
      <c r="H426" s="3" t="s">
        <v>23</v>
      </c>
      <c r="I426" s="3" t="s">
        <v>24</v>
      </c>
      <c r="J426" s="3" t="s">
        <v>25</v>
      </c>
      <c r="K426" s="1">
        <f t="shared" si="18"/>
        <v>2</v>
      </c>
      <c r="L426" s="1" t="str">
        <f>VLOOKUP(K426,List!$B$1:$D$10,2,0)</f>
        <v>Pasivo</v>
      </c>
      <c r="M426" s="1" t="str">
        <f>VLOOKUP(K426,List!$B$1:$D$10,3,0)</f>
        <v>Balance</v>
      </c>
      <c r="N426" s="1" t="str">
        <f t="shared" si="19"/>
        <v>25</v>
      </c>
      <c r="O426" s="1" t="str">
        <f>VLOOKUP(N426,List!$F$1:$G$36,2,0)</f>
        <v xml:space="preserve">Beneficios A Empleados</v>
      </c>
      <c r="P426" s="1" t="str">
        <f t="shared" si="20"/>
        <v>2510</v>
      </c>
      <c r="Q426" s="1" t="str">
        <f>VLOOKUP(P426,PUC!$A$7:$B$869,2,0)</f>
        <v xml:space="preserve">Pasivo estimado para obligaciones laborales</v>
      </c>
      <c r="R426" s="6" t="s">
        <v>1422</v>
      </c>
      <c r="S426" s="6" t="str">
        <f>VLOOKUP(N426,List!$F:$H,3,0)</f>
        <v xml:space="preserve">Corto Termino</v>
      </c>
    </row>
    <row r="427">
      <c r="A427" s="1">
        <v>354</v>
      </c>
      <c r="B427" s="3" t="s">
        <v>646</v>
      </c>
      <c r="C427" s="3" t="s">
        <v>644</v>
      </c>
      <c r="D427" s="3" t="s">
        <v>366</v>
      </c>
      <c r="E427" s="3" t="s">
        <v>357</v>
      </c>
      <c r="F427" s="3" t="s">
        <v>21</v>
      </c>
      <c r="G427" s="3" t="s">
        <v>22</v>
      </c>
      <c r="H427" s="3" t="s">
        <v>23</v>
      </c>
      <c r="I427" s="3" t="s">
        <v>24</v>
      </c>
      <c r="J427" s="3" t="s">
        <v>25</v>
      </c>
      <c r="K427" s="1">
        <f t="shared" si="18"/>
        <v>2</v>
      </c>
      <c r="L427" s="1" t="str">
        <f>VLOOKUP(K427,List!$B$1:$D$10,2,0)</f>
        <v>Pasivo</v>
      </c>
      <c r="M427" s="1" t="str">
        <f>VLOOKUP(K427,List!$B$1:$D$10,3,0)</f>
        <v>Balance</v>
      </c>
      <c r="N427" s="1" t="str">
        <f t="shared" si="19"/>
        <v>25</v>
      </c>
      <c r="O427" s="1" t="str">
        <f>VLOOKUP(N427,List!$F$1:$G$36,2,0)</f>
        <v xml:space="preserve">Beneficios A Empleados</v>
      </c>
      <c r="P427" s="1" t="str">
        <f t="shared" si="20"/>
        <v>2510</v>
      </c>
      <c r="Q427" s="1" t="str">
        <f>VLOOKUP(P427,PUC!$A$7:$B$869,2,0)</f>
        <v xml:space="preserve">Pasivo estimado para obligaciones laborales</v>
      </c>
      <c r="R427" s="6" t="s">
        <v>1422</v>
      </c>
      <c r="S427" s="6" t="str">
        <f>VLOOKUP(N427,List!$F:$H,3,0)</f>
        <v xml:space="preserve">Corto Termino</v>
      </c>
    </row>
    <row r="428">
      <c r="A428" s="1">
        <v>356</v>
      </c>
      <c r="B428" s="3" t="s">
        <v>649</v>
      </c>
      <c r="C428" s="3" t="s">
        <v>648</v>
      </c>
      <c r="D428" s="3" t="s">
        <v>366</v>
      </c>
      <c r="E428" s="3" t="s">
        <v>357</v>
      </c>
      <c r="F428" s="3" t="s">
        <v>21</v>
      </c>
      <c r="G428" s="3" t="s">
        <v>22</v>
      </c>
      <c r="H428" s="3" t="s">
        <v>23</v>
      </c>
      <c r="I428" s="3" t="s">
        <v>24</v>
      </c>
      <c r="J428" s="3" t="s">
        <v>25</v>
      </c>
      <c r="K428" s="1">
        <f t="shared" si="18"/>
        <v>2</v>
      </c>
      <c r="L428" s="1" t="str">
        <f>VLOOKUP(K428,List!$B$1:$D$10,2,0)</f>
        <v>Pasivo</v>
      </c>
      <c r="M428" s="1" t="str">
        <f>VLOOKUP(K428,List!$B$1:$D$10,3,0)</f>
        <v>Balance</v>
      </c>
      <c r="N428" s="1" t="str">
        <f t="shared" si="19"/>
        <v>25</v>
      </c>
      <c r="O428" s="1" t="str">
        <f>VLOOKUP(N428,List!$F$1:$G$36,2,0)</f>
        <v xml:space="preserve">Beneficios A Empleados</v>
      </c>
      <c r="P428" s="1" t="str">
        <f t="shared" si="20"/>
        <v>2510</v>
      </c>
      <c r="Q428" s="1" t="str">
        <f>VLOOKUP(P428,PUC!$A$7:$B$869,2,0)</f>
        <v xml:space="preserve">Pasivo estimado para obligaciones laborales</v>
      </c>
      <c r="R428" s="6" t="s">
        <v>1422</v>
      </c>
      <c r="S428" s="6" t="str">
        <f>VLOOKUP(N428,List!$F:$H,3,0)</f>
        <v xml:space="preserve">Corto Termino</v>
      </c>
    </row>
    <row r="429">
      <c r="A429" s="1">
        <v>357</v>
      </c>
      <c r="B429" s="3" t="s">
        <v>650</v>
      </c>
      <c r="C429" s="3" t="s">
        <v>648</v>
      </c>
      <c r="D429" s="3" t="s">
        <v>366</v>
      </c>
      <c r="E429" s="3" t="s">
        <v>357</v>
      </c>
      <c r="F429" s="3" t="s">
        <v>21</v>
      </c>
      <c r="G429" s="3" t="s">
        <v>22</v>
      </c>
      <c r="H429" s="3" t="s">
        <v>23</v>
      </c>
      <c r="I429" s="3" t="s">
        <v>24</v>
      </c>
      <c r="J429" s="3" t="s">
        <v>25</v>
      </c>
      <c r="K429" s="1">
        <f t="shared" si="18"/>
        <v>2</v>
      </c>
      <c r="L429" s="1" t="str">
        <f>VLOOKUP(K429,List!$B$1:$D$10,2,0)</f>
        <v>Pasivo</v>
      </c>
      <c r="M429" s="1" t="str">
        <f>VLOOKUP(K429,List!$B$1:$D$10,3,0)</f>
        <v>Balance</v>
      </c>
      <c r="N429" s="1" t="str">
        <f t="shared" si="19"/>
        <v>25</v>
      </c>
      <c r="O429" s="1" t="str">
        <f>VLOOKUP(N429,List!$F$1:$G$36,2,0)</f>
        <v xml:space="preserve">Beneficios A Empleados</v>
      </c>
      <c r="P429" s="1" t="str">
        <f t="shared" si="20"/>
        <v>2510</v>
      </c>
      <c r="Q429" s="1" t="str">
        <f>VLOOKUP(P429,PUC!$A$7:$B$869,2,0)</f>
        <v xml:space="preserve">Pasivo estimado para obligaciones laborales</v>
      </c>
      <c r="R429" s="6" t="s">
        <v>1422</v>
      </c>
      <c r="S429" s="6" t="str">
        <f>VLOOKUP(N429,List!$F:$H,3,0)</f>
        <v xml:space="preserve">Corto Termino</v>
      </c>
    </row>
    <row r="430">
      <c r="A430" s="1">
        <v>361</v>
      </c>
      <c r="B430" s="3" t="s">
        <v>657</v>
      </c>
      <c r="C430" s="3" t="s">
        <v>656</v>
      </c>
      <c r="D430" s="3" t="s">
        <v>366</v>
      </c>
      <c r="E430" s="3" t="s">
        <v>357</v>
      </c>
      <c r="F430" s="3" t="s">
        <v>21</v>
      </c>
      <c r="G430" s="3" t="s">
        <v>81</v>
      </c>
      <c r="H430" s="3" t="s">
        <v>23</v>
      </c>
      <c r="I430" s="3" t="s">
        <v>24</v>
      </c>
      <c r="J430" s="3" t="s">
        <v>25</v>
      </c>
      <c r="K430" s="1">
        <f t="shared" si="18"/>
        <v>2</v>
      </c>
      <c r="L430" s="1" t="str">
        <f>VLOOKUP(K430,List!$B$1:$D$10,2,0)</f>
        <v>Pasivo</v>
      </c>
      <c r="M430" s="1" t="str">
        <f>VLOOKUP(K430,List!$B$1:$D$10,3,0)</f>
        <v>Balance</v>
      </c>
      <c r="N430" s="1" t="str">
        <f t="shared" si="19"/>
        <v>28</v>
      </c>
      <c r="O430" s="1" t="str">
        <f>VLOOKUP(N430,List!$F$1:$G$36,2,0)</f>
        <v xml:space="preserve">Pasivos No Financieros</v>
      </c>
      <c r="P430" s="1" t="str">
        <f t="shared" si="20"/>
        <v>2805</v>
      </c>
      <c r="Q430" s="1" t="str">
        <f>VLOOKUP(P430,PUC!$A$7:$B$869,2,0)</f>
        <v xml:space="preserve">Anticipos y avances recibidos</v>
      </c>
      <c r="R430" s="6" t="s">
        <v>1422</v>
      </c>
      <c r="S430" s="6" t="str">
        <f>VLOOKUP(N430,List!$F:$H,3,0)</f>
        <v xml:space="preserve">Corto Termino</v>
      </c>
    </row>
    <row r="431">
      <c r="A431" s="1">
        <v>364</v>
      </c>
      <c r="B431" s="3" t="s">
        <v>662</v>
      </c>
      <c r="C431" s="3" t="s">
        <v>661</v>
      </c>
      <c r="D431" s="3" t="s">
        <v>366</v>
      </c>
      <c r="E431" s="3" t="s">
        <v>357</v>
      </c>
      <c r="F431" s="3" t="s">
        <v>21</v>
      </c>
      <c r="G431" s="3" t="s">
        <v>22</v>
      </c>
      <c r="H431" s="3" t="s">
        <v>23</v>
      </c>
      <c r="I431" s="3" t="s">
        <v>24</v>
      </c>
      <c r="J431" s="3" t="s">
        <v>25</v>
      </c>
      <c r="K431" s="1">
        <f t="shared" si="18"/>
        <v>2</v>
      </c>
      <c r="L431" s="1" t="str">
        <f>VLOOKUP(K431,List!$B$1:$D$10,2,0)</f>
        <v>Pasivo</v>
      </c>
      <c r="M431" s="1" t="str">
        <f>VLOOKUP(K431,List!$B$1:$D$10,3,0)</f>
        <v>Balance</v>
      </c>
      <c r="N431" s="1" t="str">
        <f t="shared" si="19"/>
        <v>28</v>
      </c>
      <c r="O431" s="1" t="str">
        <f>VLOOKUP(N431,List!$F$1:$G$36,2,0)</f>
        <v xml:space="preserve">Pasivos No Financieros</v>
      </c>
      <c r="P431" s="1" t="str">
        <f t="shared" si="20"/>
        <v>2815</v>
      </c>
      <c r="Q431" s="1" t="str">
        <f>VLOOKUP(P431,PUC!$A$7:$B$869,2,0)</f>
        <v xml:space="preserve">Ingresos recibidos para terceros</v>
      </c>
      <c r="R431" s="6" t="s">
        <v>1422</v>
      </c>
      <c r="S431" s="6" t="str">
        <f>VLOOKUP(N431,List!$F:$H,3,0)</f>
        <v xml:space="preserve">Corto Termino</v>
      </c>
    </row>
    <row r="432">
      <c r="A432" s="1">
        <v>369</v>
      </c>
      <c r="B432" s="3" t="s">
        <v>670</v>
      </c>
      <c r="C432" s="3" t="s">
        <v>671</v>
      </c>
      <c r="D432" s="3" t="s">
        <v>664</v>
      </c>
      <c r="E432" s="3" t="s">
        <v>664</v>
      </c>
      <c r="F432" s="3" t="s">
        <v>21</v>
      </c>
      <c r="G432" s="3" t="s">
        <v>22</v>
      </c>
      <c r="H432" s="3" t="s">
        <v>23</v>
      </c>
      <c r="I432" s="3" t="s">
        <v>24</v>
      </c>
      <c r="J432" s="3" t="s">
        <v>25</v>
      </c>
      <c r="K432" s="1">
        <f t="shared" si="18"/>
        <v>3</v>
      </c>
      <c r="L432" s="1" t="str">
        <f>VLOOKUP(K432,List!$B$1:$D$10,2,0)</f>
        <v>Patrimonio</v>
      </c>
      <c r="M432" s="1" t="str">
        <f>VLOOKUP(K432,List!$B$1:$D$10,3,0)</f>
        <v>Balance</v>
      </c>
      <c r="N432" s="1" t="str">
        <f t="shared" si="19"/>
        <v>31</v>
      </c>
      <c r="O432" s="1" t="str">
        <f>VLOOKUP(N432,List!$F$1:$G$36,2,0)</f>
        <v xml:space="preserve">Capital Social</v>
      </c>
      <c r="P432" s="1" t="str">
        <f t="shared" si="20"/>
        <v>3105</v>
      </c>
      <c r="Q432" s="1" t="str">
        <f>VLOOKUP(P432,PUC!$A$7:$B$869,2,0)</f>
        <v xml:space="preserve">Capital suscrito y pagado</v>
      </c>
      <c r="R432" s="6" t="s">
        <v>1422</v>
      </c>
      <c r="S432" s="6">
        <f>VLOOKUP(N432,List!$F:$H,3,0)</f>
        <v>0</v>
      </c>
    </row>
    <row r="433">
      <c r="A433" s="1">
        <v>371</v>
      </c>
      <c r="B433" s="3" t="s">
        <v>674</v>
      </c>
      <c r="C433" s="3" t="s">
        <v>673</v>
      </c>
      <c r="D433" s="3" t="s">
        <v>664</v>
      </c>
      <c r="E433" s="3" t="s">
        <v>664</v>
      </c>
      <c r="F433" s="3" t="s">
        <v>21</v>
      </c>
      <c r="G433" s="3" t="s">
        <v>22</v>
      </c>
      <c r="H433" s="3" t="s">
        <v>23</v>
      </c>
      <c r="I433" s="3" t="s">
        <v>24</v>
      </c>
      <c r="J433" s="3" t="s">
        <v>25</v>
      </c>
      <c r="K433" s="1">
        <f t="shared" si="18"/>
        <v>3</v>
      </c>
      <c r="L433" s="1" t="str">
        <f>VLOOKUP(K433,List!$B$1:$D$10,2,0)</f>
        <v>Patrimonio</v>
      </c>
      <c r="M433" s="1" t="str">
        <f>VLOOKUP(K433,List!$B$1:$D$10,3,0)</f>
        <v>Balance</v>
      </c>
      <c r="N433" s="1" t="str">
        <f t="shared" si="19"/>
        <v>31</v>
      </c>
      <c r="O433" s="1" t="str">
        <f>VLOOKUP(N433,List!$F$1:$G$36,2,0)</f>
        <v xml:space="preserve">Capital Social</v>
      </c>
      <c r="P433" s="1" t="str">
        <f t="shared" si="20"/>
        <v>3105</v>
      </c>
      <c r="Q433" s="1" t="str">
        <f>VLOOKUP(P433,PUC!$A$7:$B$869,2,0)</f>
        <v xml:space="preserve">Capital suscrito y pagado</v>
      </c>
      <c r="R433" s="6" t="s">
        <v>1422</v>
      </c>
      <c r="S433" s="6">
        <f>VLOOKUP(N433,List!$F:$H,3,0)</f>
        <v>0</v>
      </c>
    </row>
    <row r="434">
      <c r="A434" s="1">
        <v>375</v>
      </c>
      <c r="B434" s="3" t="s">
        <v>681</v>
      </c>
      <c r="C434" s="3" t="s">
        <v>680</v>
      </c>
      <c r="D434" s="3" t="s">
        <v>664</v>
      </c>
      <c r="E434" s="3" t="s">
        <v>664</v>
      </c>
      <c r="F434" s="3" t="s">
        <v>21</v>
      </c>
      <c r="G434" s="3" t="s">
        <v>22</v>
      </c>
      <c r="H434" s="3" t="s">
        <v>23</v>
      </c>
      <c r="I434" s="3" t="s">
        <v>24</v>
      </c>
      <c r="J434" s="3" t="s">
        <v>25</v>
      </c>
      <c r="K434" s="1">
        <f t="shared" si="18"/>
        <v>3</v>
      </c>
      <c r="L434" s="1" t="str">
        <f>VLOOKUP(K434,List!$B$1:$D$10,2,0)</f>
        <v>Patrimonio</v>
      </c>
      <c r="M434" s="1" t="str">
        <f>VLOOKUP(K434,List!$B$1:$D$10,3,0)</f>
        <v>Balance</v>
      </c>
      <c r="N434" s="1" t="str">
        <f t="shared" si="19"/>
        <v>32</v>
      </c>
      <c r="O434" s="1" t="str">
        <f>VLOOKUP(N434,List!$F$1:$G$36,2,0)</f>
        <v xml:space="preserve">Superávit De Capital</v>
      </c>
      <c r="P434" s="1" t="str">
        <f t="shared" si="20"/>
        <v>3205</v>
      </c>
      <c r="Q434" s="1" t="str">
        <f>VLOOKUP(P434,PUC!$A$7:$B$869,2,0)</f>
        <v xml:space="preserve">Prima en colocación de acciones cuotas o partes d</v>
      </c>
      <c r="R434" s="6" t="s">
        <v>1422</v>
      </c>
      <c r="S434" s="6">
        <f>VLOOKUP(N434,List!$F:$H,3,0)</f>
        <v>0</v>
      </c>
    </row>
    <row r="435">
      <c r="A435" s="1">
        <v>377</v>
      </c>
      <c r="B435" s="3" t="s">
        <v>684</v>
      </c>
      <c r="C435" s="3" t="s">
        <v>683</v>
      </c>
      <c r="D435" s="3" t="s">
        <v>664</v>
      </c>
      <c r="E435" s="3" t="s">
        <v>664</v>
      </c>
      <c r="F435" s="3" t="s">
        <v>21</v>
      </c>
      <c r="G435" s="3" t="s">
        <v>22</v>
      </c>
      <c r="H435" s="3" t="s">
        <v>23</v>
      </c>
      <c r="I435" s="3" t="s">
        <v>24</v>
      </c>
      <c r="J435" s="3" t="s">
        <v>25</v>
      </c>
      <c r="K435" s="1">
        <f t="shared" si="18"/>
        <v>3</v>
      </c>
      <c r="L435" s="1" t="str">
        <f>VLOOKUP(K435,List!$B$1:$D$10,2,0)</f>
        <v>Patrimonio</v>
      </c>
      <c r="M435" s="1" t="str">
        <f>VLOOKUP(K435,List!$B$1:$D$10,3,0)</f>
        <v>Balance</v>
      </c>
      <c r="N435" s="1" t="str">
        <f t="shared" si="19"/>
        <v>32</v>
      </c>
      <c r="O435" s="1" t="str">
        <f>VLOOKUP(N435,List!$F$1:$G$36,2,0)</f>
        <v xml:space="preserve">Superávit De Capital</v>
      </c>
      <c r="P435" s="1" t="str">
        <f t="shared" si="20"/>
        <v>3205</v>
      </c>
      <c r="Q435" s="1" t="str">
        <f>VLOOKUP(P435,PUC!$A$7:$B$869,2,0)</f>
        <v xml:space="preserve">Prima en colocación de acciones cuotas o partes d</v>
      </c>
      <c r="R435" s="6" t="s">
        <v>1422</v>
      </c>
      <c r="S435" s="6">
        <f>VLOOKUP(N435,List!$F:$H,3,0)</f>
        <v>0</v>
      </c>
    </row>
    <row r="436">
      <c r="A436" s="1">
        <v>381</v>
      </c>
      <c r="B436" s="3" t="s">
        <v>690</v>
      </c>
      <c r="C436" s="3" t="s">
        <v>691</v>
      </c>
      <c r="D436" s="3" t="s">
        <v>664</v>
      </c>
      <c r="E436" s="3" t="s">
        <v>664</v>
      </c>
      <c r="F436" s="3" t="s">
        <v>21</v>
      </c>
      <c r="G436" s="3" t="s">
        <v>22</v>
      </c>
      <c r="H436" s="3" t="s">
        <v>23</v>
      </c>
      <c r="I436" s="3" t="s">
        <v>24</v>
      </c>
      <c r="J436" s="3" t="s">
        <v>25</v>
      </c>
      <c r="K436" s="1">
        <f t="shared" si="18"/>
        <v>3</v>
      </c>
      <c r="L436" s="1" t="str">
        <f>VLOOKUP(K436,List!$B$1:$D$10,2,0)</f>
        <v>Patrimonio</v>
      </c>
      <c r="M436" s="1" t="str">
        <f>VLOOKUP(K436,List!$B$1:$D$10,3,0)</f>
        <v>Balance</v>
      </c>
      <c r="N436" s="1" t="str">
        <f t="shared" si="19"/>
        <v>33</v>
      </c>
      <c r="O436" s="1" t="str">
        <f>VLOOKUP(N436,List!$F$1:$G$36,2,0)</f>
        <v>Reservas</v>
      </c>
      <c r="P436" s="1" t="str">
        <f t="shared" si="20"/>
        <v>3305</v>
      </c>
      <c r="Q436" s="1" t="str">
        <f>VLOOKUP(P436,PUC!$A$7:$B$869,2,0)</f>
        <v xml:space="preserve">Reservas obligatorias</v>
      </c>
      <c r="R436" s="6" t="s">
        <v>1422</v>
      </c>
      <c r="S436" s="6">
        <f>VLOOKUP(N436,List!$F:$H,3,0)</f>
        <v>0</v>
      </c>
    </row>
    <row r="437">
      <c r="A437" s="1">
        <v>385</v>
      </c>
      <c r="B437" s="3" t="s">
        <v>697</v>
      </c>
      <c r="C437" s="3" t="s">
        <v>698</v>
      </c>
      <c r="D437" s="3" t="s">
        <v>664</v>
      </c>
      <c r="E437" s="3" t="s">
        <v>664</v>
      </c>
      <c r="F437" s="3" t="s">
        <v>21</v>
      </c>
      <c r="G437" s="3" t="s">
        <v>22</v>
      </c>
      <c r="H437" s="3" t="s">
        <v>23</v>
      </c>
      <c r="I437" s="3" t="s">
        <v>24</v>
      </c>
      <c r="J437" s="3" t="s">
        <v>25</v>
      </c>
      <c r="K437" s="1">
        <f t="shared" si="18"/>
        <v>3</v>
      </c>
      <c r="L437" s="1" t="str">
        <f>VLOOKUP(K437,List!$B$1:$D$10,2,0)</f>
        <v>Patrimonio</v>
      </c>
      <c r="M437" s="1" t="str">
        <f>VLOOKUP(K437,List!$B$1:$D$10,3,0)</f>
        <v>Balance</v>
      </c>
      <c r="N437" s="1" t="str">
        <f t="shared" si="19"/>
        <v>36</v>
      </c>
      <c r="O437" s="1" t="str">
        <f>VLOOKUP(N437,List!$F$1:$G$36,2,0)</f>
        <v xml:space="preserve">Resultados Del Ejercicio                          </v>
      </c>
      <c r="P437" s="1" t="str">
        <f t="shared" si="20"/>
        <v>3605</v>
      </c>
      <c r="Q437" s="1" t="str">
        <f>VLOOKUP(P437,PUC!$A$7:$B$869,2,0)</f>
        <v xml:space="preserve">RESULTADOS DEL EJERCICIO                          </v>
      </c>
      <c r="R437" s="6" t="s">
        <v>1422</v>
      </c>
      <c r="S437" s="6">
        <f>VLOOKUP(N437,List!$F:$H,3,0)</f>
        <v>0</v>
      </c>
    </row>
    <row r="438">
      <c r="A438" s="1">
        <v>389</v>
      </c>
      <c r="B438" s="3" t="s">
        <v>703</v>
      </c>
      <c r="C438" s="3" t="s">
        <v>704</v>
      </c>
      <c r="D438" s="3" t="s">
        <v>664</v>
      </c>
      <c r="E438" s="3" t="s">
        <v>664</v>
      </c>
      <c r="F438" s="3" t="s">
        <v>21</v>
      </c>
      <c r="G438" s="3" t="s">
        <v>22</v>
      </c>
      <c r="H438" s="3" t="s">
        <v>23</v>
      </c>
      <c r="I438" s="3" t="s">
        <v>24</v>
      </c>
      <c r="J438" s="3" t="s">
        <v>25</v>
      </c>
      <c r="K438" s="1">
        <f t="shared" si="18"/>
        <v>3</v>
      </c>
      <c r="L438" s="1" t="str">
        <f>VLOOKUP(K438,List!$B$1:$D$10,2,0)</f>
        <v>Patrimonio</v>
      </c>
      <c r="M438" s="1" t="str">
        <f>VLOOKUP(K438,List!$B$1:$D$10,3,0)</f>
        <v>Balance</v>
      </c>
      <c r="N438" s="8" t="str">
        <f t="shared" si="19"/>
        <v>37</v>
      </c>
      <c r="O438" s="8" t="str">
        <f>VLOOKUP(N438,List!$F$1:$G$36,2,0)</f>
        <v xml:space="preserve">Resultados De Ejercicios Anteriores</v>
      </c>
      <c r="P438" s="1" t="str">
        <f t="shared" si="20"/>
        <v>3705</v>
      </c>
      <c r="Q438" s="1" t="str">
        <f>VLOOKUP(P438,PUC!$A$7:$B$869,2,0)</f>
        <v xml:space="preserve">Resultados de ejercicios anteriores</v>
      </c>
      <c r="R438" s="6" t="s">
        <v>1422</v>
      </c>
      <c r="S438" s="6">
        <f>VLOOKUP(N438,List!$F:$H,3,0)</f>
        <v>0</v>
      </c>
    </row>
    <row r="439">
      <c r="A439" s="1">
        <v>392</v>
      </c>
      <c r="B439" s="3" t="s">
        <v>708</v>
      </c>
      <c r="C439" s="3" t="s">
        <v>709</v>
      </c>
      <c r="D439" s="3" t="s">
        <v>664</v>
      </c>
      <c r="E439" s="3" t="s">
        <v>664</v>
      </c>
      <c r="F439" s="3" t="s">
        <v>21</v>
      </c>
      <c r="G439" s="3" t="s">
        <v>22</v>
      </c>
      <c r="H439" s="3" t="s">
        <v>23</v>
      </c>
      <c r="I439" s="3" t="s">
        <v>24</v>
      </c>
      <c r="J439" s="3" t="s">
        <v>25</v>
      </c>
      <c r="K439" s="1">
        <f t="shared" si="18"/>
        <v>3</v>
      </c>
      <c r="L439" s="1" t="str">
        <f>VLOOKUP(K439,List!$B$1:$D$10,2,0)</f>
        <v>Patrimonio</v>
      </c>
      <c r="M439" s="1" t="str">
        <f>VLOOKUP(K439,List!$B$1:$D$10,3,0)</f>
        <v>Balance</v>
      </c>
      <c r="N439" s="8" t="str">
        <f t="shared" si="19"/>
        <v>37</v>
      </c>
      <c r="O439" s="8" t="str">
        <f>VLOOKUP(N439,List!$F$1:$G$36,2,0)</f>
        <v xml:space="preserve">Resultados De Ejercicios Anteriores</v>
      </c>
      <c r="P439" s="1" t="str">
        <f t="shared" si="20"/>
        <v>3710</v>
      </c>
      <c r="Q439" s="1" t="str">
        <f>VLOOKUP(P439,PUC!$A$7:$B$869,2,0)</f>
        <v>Convergencia</v>
      </c>
      <c r="R439" s="6" t="s">
        <v>1422</v>
      </c>
      <c r="S439" s="6">
        <f>VLOOKUP(N439,List!$F:$H,3,0)</f>
        <v>0</v>
      </c>
    </row>
    <row r="440">
      <c r="A440" s="1">
        <v>396</v>
      </c>
      <c r="B440" s="3" t="s">
        <v>715</v>
      </c>
      <c r="C440" s="3" t="s">
        <v>713</v>
      </c>
      <c r="D440" s="3" t="s">
        <v>664</v>
      </c>
      <c r="E440" s="3" t="s">
        <v>664</v>
      </c>
      <c r="F440" s="3" t="s">
        <v>21</v>
      </c>
      <c r="G440" s="3" t="s">
        <v>22</v>
      </c>
      <c r="H440" s="3" t="s">
        <v>23</v>
      </c>
      <c r="I440" s="3" t="s">
        <v>24</v>
      </c>
      <c r="J440" s="3" t="s">
        <v>25</v>
      </c>
      <c r="K440" s="1">
        <f t="shared" si="18"/>
        <v>3</v>
      </c>
      <c r="L440" s="1" t="str">
        <f>VLOOKUP(K440,List!$B$1:$D$10,2,0)</f>
        <v>Patrimonio</v>
      </c>
      <c r="M440" s="1" t="str">
        <f>VLOOKUP(K440,List!$B$1:$D$10,3,0)</f>
        <v>Balance</v>
      </c>
      <c r="N440" s="1" t="str">
        <f t="shared" si="19"/>
        <v>39</v>
      </c>
      <c r="O440" s="1" t="str">
        <f>VLOOKUP(N440,List!$F$1:$G$36,2,0)</f>
        <v xml:space="preserve">Afectaciones Fiscales De Ingresos Y Gastos</v>
      </c>
      <c r="P440" s="1" t="str">
        <f t="shared" si="20"/>
        <v>3905</v>
      </c>
      <c r="Q440" s="1" t="str">
        <f>VLOOKUP(P440,PUC!$A$7:$B$869,2,0)</f>
        <v xml:space="preserve">Resultados fiscales de ventas en ganancia ocasional</v>
      </c>
      <c r="R440" s="6" t="s">
        <v>1422</v>
      </c>
      <c r="S440" s="6">
        <f>VLOOKUP(N440,List!$F:$H,3,0)</f>
        <v>0</v>
      </c>
    </row>
    <row r="441" s="12" customFormat="1">
      <c r="A441" s="12">
        <v>444</v>
      </c>
      <c r="B441" s="11" t="s">
        <v>1424</v>
      </c>
      <c r="C441" s="11" t="s">
        <v>1425</v>
      </c>
      <c r="D441" s="11" t="s">
        <v>247</v>
      </c>
      <c r="E441" s="11" t="s">
        <v>10</v>
      </c>
      <c r="F441" s="11" t="s">
        <v>297</v>
      </c>
      <c r="G441" s="11" t="s">
        <v>22</v>
      </c>
      <c r="H441" s="11" t="s">
        <v>23</v>
      </c>
      <c r="I441" s="11" t="s">
        <v>24</v>
      </c>
      <c r="J441" s="11" t="s">
        <v>25</v>
      </c>
      <c r="K441" s="12">
        <v>1</v>
      </c>
      <c r="L441" s="12" t="s">
        <v>10</v>
      </c>
      <c r="M441" s="12" t="s">
        <v>1410</v>
      </c>
      <c r="N441" s="7" t="str">
        <f t="shared" si="19"/>
        <v>16</v>
      </c>
      <c r="O441" s="7" t="str">
        <f>VLOOKUP(N441,List!$F$1:$G$36,2,0)</f>
        <v>Intangibles</v>
      </c>
      <c r="P441" s="7" t="str">
        <f t="shared" si="20"/>
        <v>1698</v>
      </c>
      <c r="Q441" s="10" t="str">
        <f>VLOOKUP(P441,PUC!$A$7:$B$869,2,0)</f>
        <v xml:space="preserve">Amortización Acumulada</v>
      </c>
      <c r="R441" s="7" t="s">
        <v>1422</v>
      </c>
      <c r="S441" s="7" t="str">
        <f>VLOOKUP(N441,List!$F:$H,3,0)</f>
        <v xml:space="preserve">Largo Termino</v>
      </c>
    </row>
    <row r="442" s="12" customFormat="1">
      <c r="A442" s="12">
        <v>445</v>
      </c>
      <c r="B442" s="11" t="s">
        <v>1426</v>
      </c>
      <c r="C442" s="11" t="s">
        <v>980</v>
      </c>
      <c r="D442" s="11" t="s">
        <v>836</v>
      </c>
      <c r="E442" s="11" t="s">
        <v>836</v>
      </c>
      <c r="F442" s="11" t="s">
        <v>21</v>
      </c>
      <c r="G442" s="11" t="s">
        <v>22</v>
      </c>
      <c r="H442" s="11" t="s">
        <v>23</v>
      </c>
      <c r="I442" s="11" t="s">
        <v>24</v>
      </c>
      <c r="J442" s="11" t="s">
        <v>25</v>
      </c>
      <c r="K442" s="12">
        <v>5</v>
      </c>
      <c r="L442" s="12" t="s">
        <v>836</v>
      </c>
      <c r="M442" s="12" t="s">
        <v>1411</v>
      </c>
      <c r="N442" s="7" t="str">
        <f t="shared" si="19"/>
        <v>51</v>
      </c>
      <c r="O442" s="7" t="str">
        <f>VLOOKUP(N442,List!$F$1:$G$36,2,0)</f>
        <v>Administrativos</v>
      </c>
      <c r="P442" s="7" t="str">
        <f t="shared" si="20"/>
        <v>5115</v>
      </c>
      <c r="Q442" s="7" t="str">
        <f>VLOOKUP(P442,PUC!$A$7:$B$869,2,0)</f>
        <v>Impuestos</v>
      </c>
      <c r="R442" s="7" t="s">
        <v>1423</v>
      </c>
      <c r="S442" s="7">
        <f>VLOOKUP(N442,List!$F:$H,3,0)</f>
        <v>0</v>
      </c>
    </row>
    <row r="443" s="12" customFormat="1">
      <c r="A443" s="12">
        <v>446</v>
      </c>
      <c r="B443" s="11" t="s">
        <v>1427</v>
      </c>
      <c r="C443" s="11" t="s">
        <v>986</v>
      </c>
      <c r="D443" s="11" t="s">
        <v>836</v>
      </c>
      <c r="E443" s="11" t="s">
        <v>836</v>
      </c>
      <c r="F443" s="11" t="s">
        <v>21</v>
      </c>
      <c r="G443" s="11" t="s">
        <v>22</v>
      </c>
      <c r="H443" s="11" t="s">
        <v>23</v>
      </c>
      <c r="I443" s="11" t="s">
        <v>24</v>
      </c>
      <c r="J443" s="11" t="s">
        <v>25</v>
      </c>
      <c r="K443" s="12">
        <v>5</v>
      </c>
      <c r="L443" s="12" t="s">
        <v>836</v>
      </c>
      <c r="M443" s="12" t="s">
        <v>1411</v>
      </c>
      <c r="N443" s="7" t="str">
        <f t="shared" si="19"/>
        <v>51</v>
      </c>
      <c r="O443" s="7" t="str">
        <f>VLOOKUP(N443,List!$F$1:$G$36,2,0)</f>
        <v>Administrativos</v>
      </c>
      <c r="P443" s="7" t="str">
        <f t="shared" si="20"/>
        <v>5115</v>
      </c>
      <c r="Q443" s="7" t="str">
        <f>VLOOKUP(P443,PUC!$A$7:$B$869,2,0)</f>
        <v>Impuestos</v>
      </c>
      <c r="R443" s="7" t="s">
        <v>1423</v>
      </c>
      <c r="S443" s="7">
        <f>VLOOKUP(N443,List!$F:$H,3,0)</f>
        <v>0</v>
      </c>
    </row>
    <row r="444" s="12" customFormat="1">
      <c r="A444" s="12">
        <v>447</v>
      </c>
      <c r="B444" s="11" t="s">
        <v>1428</v>
      </c>
      <c r="C444" s="11" t="s">
        <v>283</v>
      </c>
      <c r="D444" s="11" t="s">
        <v>836</v>
      </c>
      <c r="E444" s="11" t="s">
        <v>836</v>
      </c>
      <c r="F444" s="11" t="s">
        <v>21</v>
      </c>
      <c r="G444" s="11" t="s">
        <v>22</v>
      </c>
      <c r="H444" s="11" t="s">
        <v>23</v>
      </c>
      <c r="I444" s="11" t="s">
        <v>24</v>
      </c>
      <c r="J444" s="11" t="s">
        <v>25</v>
      </c>
      <c r="K444" s="12">
        <v>5</v>
      </c>
      <c r="L444" s="12" t="s">
        <v>836</v>
      </c>
      <c r="M444" s="12" t="s">
        <v>1411</v>
      </c>
      <c r="N444" s="7" t="str">
        <f t="shared" si="19"/>
        <v>51</v>
      </c>
      <c r="O444" s="7" t="str">
        <f>VLOOKUP(N444,List!$F$1:$G$36,2,0)</f>
        <v>Administrativos</v>
      </c>
      <c r="P444" s="7" t="str">
        <f t="shared" si="20"/>
        <v>5145</v>
      </c>
      <c r="Q444" s="7" t="str">
        <f>VLOOKUP(P444,PUC!$A$7:$B$869,2,0)</f>
        <v xml:space="preserve">Mantenimiento y reparaciones</v>
      </c>
      <c r="R444" s="7" t="s">
        <v>1423</v>
      </c>
      <c r="S444" s="7">
        <f>VLOOKUP(N444,List!$F:$H,3,0)</f>
        <v>0</v>
      </c>
    </row>
    <row r="445" s="12" customFormat="1">
      <c r="A445" s="12">
        <v>448</v>
      </c>
      <c r="B445" s="11" t="s">
        <v>1429</v>
      </c>
      <c r="C445" s="11" t="s">
        <v>310</v>
      </c>
      <c r="D445" s="11" t="s">
        <v>836</v>
      </c>
      <c r="E445" s="11" t="s">
        <v>836</v>
      </c>
      <c r="F445" s="11" t="s">
        <v>1114</v>
      </c>
      <c r="G445" s="11" t="s">
        <v>22</v>
      </c>
      <c r="H445" s="11" t="s">
        <v>23</v>
      </c>
      <c r="I445" s="11" t="s">
        <v>24</v>
      </c>
      <c r="J445" s="11" t="s">
        <v>25</v>
      </c>
      <c r="K445" s="12">
        <v>5</v>
      </c>
      <c r="L445" s="12" t="s">
        <v>836</v>
      </c>
      <c r="M445" s="12" t="s">
        <v>1411</v>
      </c>
      <c r="N445" s="7" t="str">
        <f t="shared" si="19"/>
        <v>51</v>
      </c>
      <c r="O445" s="7" t="str">
        <f>VLOOKUP(N445,List!$F$1:$G$36,2,0)</f>
        <v>Administrativos</v>
      </c>
      <c r="P445" s="7" t="str">
        <f t="shared" si="20"/>
        <v>5165</v>
      </c>
      <c r="Q445" s="7" t="str">
        <f>VLOOKUP(P445,PUC!$A$7:$B$869,2,0)</f>
        <v>Amortizaciones</v>
      </c>
      <c r="R445" s="7" t="s">
        <v>1422</v>
      </c>
      <c r="S445" s="7">
        <f>VLOOKUP(N445,List!$F:$H,3,0)</f>
        <v>0</v>
      </c>
    </row>
    <row r="446" s="12" customFormat="1">
      <c r="A446" s="12">
        <v>449</v>
      </c>
      <c r="B446" s="11" t="s">
        <v>1430</v>
      </c>
      <c r="C446" s="11" t="s">
        <v>1304</v>
      </c>
      <c r="D446" s="11" t="s">
        <v>836</v>
      </c>
      <c r="E446" s="11" t="s">
        <v>836</v>
      </c>
      <c r="F446" s="11" t="s">
        <v>21</v>
      </c>
      <c r="G446" s="11" t="s">
        <v>22</v>
      </c>
      <c r="H446" s="11" t="s">
        <v>23</v>
      </c>
      <c r="I446" s="11" t="s">
        <v>24</v>
      </c>
      <c r="J446" s="11" t="s">
        <v>25</v>
      </c>
      <c r="K446" s="12">
        <v>5</v>
      </c>
      <c r="L446" s="12" t="s">
        <v>836</v>
      </c>
      <c r="M446" s="12" t="s">
        <v>1411</v>
      </c>
      <c r="N446" s="7" t="str">
        <f t="shared" si="19"/>
        <v>53</v>
      </c>
      <c r="O446" s="7" t="str">
        <f>VLOOKUP(N446,List!$F$1:$G$36,2,0)</f>
        <v xml:space="preserve">Otros Gastos De Actividades Ordinarias</v>
      </c>
      <c r="P446" s="7" t="str">
        <f t="shared" si="20"/>
        <v>5395</v>
      </c>
      <c r="Q446" s="7" t="str">
        <f>VLOOKUP(P446,PUC!$A$7:$B$869,2,0)</f>
        <v xml:space="preserve">Gastos diversos</v>
      </c>
      <c r="R446" s="7" t="s">
        <v>1423</v>
      </c>
      <c r="S446" s="7">
        <f>VLOOKUP(N446,List!$F:$H,3,0)</f>
        <v>0</v>
      </c>
    </row>
  </sheetData>
  <sortState ref="A2:J446">
    <sortCondition ref="E2:E446"/>
  </sortState>
  <pageMargins left="0.69999999999999996" right="0.69999999999999996" top="0.75" bottom="0.75" header="0.29999999999999999" footer="0.29999999999999999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/>
  <sheetViews>
    <sheetView workbookViewId="0">
      <selection activeCell="G17" sqref="G17"/>
    </sheetView>
  </sheetViews>
  <sheetFormatPr baseColWidth="10" defaultRowHeight="15"/>
  <cols>
    <col bestFit="1" customWidth="1" min="3" max="3" width="18"/>
    <col bestFit="1" customWidth="1" min="7" max="7" width="45.28515625"/>
  </cols>
  <sheetData>
    <row r="1">
      <c r="B1" t="s">
        <v>6</v>
      </c>
      <c r="C1" t="s">
        <v>1406</v>
      </c>
      <c r="D1" t="s">
        <v>1409</v>
      </c>
      <c r="F1" t="s">
        <v>1412</v>
      </c>
      <c r="G1" t="s">
        <v>1413</v>
      </c>
      <c r="H1" t="s">
        <v>1409</v>
      </c>
    </row>
    <row r="2">
      <c r="B2">
        <v>1</v>
      </c>
      <c r="C2" t="s">
        <v>10</v>
      </c>
      <c r="D2" t="s">
        <v>1410</v>
      </c>
      <c r="F2" t="s">
        <v>13</v>
      </c>
      <c r="G2" t="str">
        <f>PROPER(VLOOKUP(F2,PUC!$A$7:$I$869,2,0))</f>
        <v xml:space="preserve">Efectivo Y Equivalentes De Efectivo</v>
      </c>
      <c r="H2" t="s">
        <v>1419</v>
      </c>
    </row>
    <row r="3">
      <c r="B3">
        <v>2</v>
      </c>
      <c r="C3" t="s">
        <v>357</v>
      </c>
      <c r="D3" s="1" t="s">
        <v>1410</v>
      </c>
      <c r="F3" t="s">
        <v>55</v>
      </c>
      <c r="G3" s="1" t="str">
        <f>PROPER(VLOOKUP(F3,PUC!$A$7:$I$869,2,0))</f>
        <v xml:space="preserve">Inversiones En Asociadas</v>
      </c>
      <c r="H3" s="6" t="s">
        <v>1419</v>
      </c>
    </row>
    <row r="4">
      <c r="B4" s="1">
        <v>3</v>
      </c>
      <c r="C4" t="s">
        <v>664</v>
      </c>
      <c r="D4" s="1" t="s">
        <v>1410</v>
      </c>
      <c r="F4" t="s">
        <v>74</v>
      </c>
      <c r="G4" s="1" t="str">
        <f>PROPER(VLOOKUP(F4,PUC!$A$7:$I$869,2,0))</f>
        <v xml:space="preserve">Deudores Comerciales Y Otras Cuentas Por Cobrar</v>
      </c>
      <c r="H4" s="6" t="s">
        <v>1419</v>
      </c>
    </row>
    <row r="5">
      <c r="B5" s="1">
        <v>4</v>
      </c>
      <c r="C5" t="s">
        <v>717</v>
      </c>
      <c r="D5" t="s">
        <v>1411</v>
      </c>
      <c r="F5" t="s">
        <v>230</v>
      </c>
      <c r="G5" s="1" t="str">
        <f>PROPER(VLOOKUP(F5,PUC!$A$7:$I$869,2,0))</f>
        <v>Inventarios</v>
      </c>
      <c r="H5" s="6" t="s">
        <v>1419</v>
      </c>
    </row>
    <row r="6">
      <c r="B6" s="1">
        <v>5</v>
      </c>
      <c r="C6" t="s">
        <v>836</v>
      </c>
      <c r="D6" s="1" t="s">
        <v>1411</v>
      </c>
      <c r="F6" t="s">
        <v>240</v>
      </c>
      <c r="G6" s="1" t="str">
        <f>PROPER(VLOOKUP(F6,PUC!$A$7:$I$869,2,0))</f>
        <v xml:space="preserve">Propiedad Planta Y Equipo</v>
      </c>
      <c r="H6" t="s">
        <v>1420</v>
      </c>
    </row>
    <row r="7">
      <c r="B7" s="1">
        <v>6</v>
      </c>
      <c r="C7" t="s">
        <v>1407</v>
      </c>
      <c r="D7" s="1" t="s">
        <v>1411</v>
      </c>
      <c r="F7" t="s">
        <v>309</v>
      </c>
      <c r="G7" s="1" t="str">
        <f>PROPER(VLOOKUP(F7,PUC!$A$7:$I$869,2,0))</f>
        <v>Intangibles</v>
      </c>
      <c r="H7" s="6" t="s">
        <v>1420</v>
      </c>
    </row>
    <row r="8">
      <c r="B8" s="1">
        <v>7</v>
      </c>
      <c r="C8" t="s">
        <v>1408</v>
      </c>
      <c r="D8" s="1" t="s">
        <v>1411</v>
      </c>
      <c r="F8" t="s">
        <v>323</v>
      </c>
      <c r="G8" s="1" t="str">
        <f>PROPER(VLOOKUP(F8,PUC!$A$7:$I$869,2,0))</f>
        <v xml:space="preserve">Otros Activos No Financieros</v>
      </c>
      <c r="H8" s="6" t="s">
        <v>1420</v>
      </c>
    </row>
    <row r="9">
      <c r="B9" s="1">
        <v>8</v>
      </c>
      <c r="C9" t="s">
        <v>1404</v>
      </c>
      <c r="D9" t="s">
        <v>1404</v>
      </c>
      <c r="F9" t="s">
        <v>330</v>
      </c>
      <c r="G9" s="1" t="str">
        <f>PROPER(VLOOKUP(F9,PUC!$A$7:$I$869,2,0))</f>
        <v xml:space="preserve">Impuesto A Las Ganancias</v>
      </c>
      <c r="H9" s="6" t="s">
        <v>1419</v>
      </c>
    </row>
    <row r="10">
      <c r="B10" s="1">
        <v>9</v>
      </c>
      <c r="C10" s="1" t="s">
        <v>1404</v>
      </c>
      <c r="D10" s="1" t="s">
        <v>1404</v>
      </c>
      <c r="F10" t="s">
        <v>350</v>
      </c>
      <c r="G10" s="1" t="str">
        <f>PROPER(VLOOKUP(F10,PUC!$A$7:$I$869,2,0))</f>
        <v xml:space="preserve">Otros Activos Financieros</v>
      </c>
      <c r="H10" s="6" t="s">
        <v>1419</v>
      </c>
    </row>
    <row r="11">
      <c r="F11" t="s">
        <v>1332</v>
      </c>
      <c r="G11" s="1" t="str">
        <f>PROPER(VLOOKUP(F11,PUC!$A$7:$I$869,2,0))</f>
        <v xml:space="preserve">Costos De Producción O De Operación</v>
      </c>
    </row>
    <row r="12">
      <c r="F12" t="s">
        <v>1338</v>
      </c>
      <c r="G12" s="1" t="str">
        <f>PROPER(VLOOKUP(F12,PUC!$A$7:$I$869,2,0))</f>
        <v xml:space="preserve">Mano De Obra Directa</v>
      </c>
    </row>
    <row r="13">
      <c r="F13" t="s">
        <v>1383</v>
      </c>
      <c r="G13" s="1" t="str">
        <f>PROPER(VLOOKUP(F13,PUC!$A$7:$I$8690,2,0))</f>
        <v xml:space="preserve">Costos Indirectos</v>
      </c>
    </row>
    <row r="14">
      <c r="F14" t="s">
        <v>1388</v>
      </c>
      <c r="G14" s="1" t="str">
        <f>PROPER(VLOOKUP(F14,PUC!$A$7:$I$8690,2,0))</f>
        <v xml:space="preserve">Contratos De Servicios</v>
      </c>
    </row>
    <row r="15">
      <c r="F15" t="s">
        <v>1321</v>
      </c>
      <c r="G15" s="1" t="str">
        <f>PROPER(VLOOKUP(F15,PUC!$A$7:$I$869,2,0))</f>
        <v xml:space="preserve">Costo De Ventas Y De Prestación De Servicios</v>
      </c>
    </row>
    <row r="16">
      <c r="F16" t="s">
        <v>1399</v>
      </c>
      <c r="G16" s="1" t="str">
        <f>PROPER(VLOOKUP(F16,PUC!$A$7:$I$8690,2,0))</f>
        <v xml:space="preserve">Cuentas De Orden Acreedoras</v>
      </c>
    </row>
    <row r="17">
      <c r="F17" t="s">
        <v>828</v>
      </c>
      <c r="G17" s="1" t="str">
        <f>PROPER(VLOOKUP(F17,PUC!$A$7:$I$869,2,0))</f>
        <v>Administrativos</v>
      </c>
    </row>
    <row r="18">
      <c r="F18" t="s">
        <v>1167</v>
      </c>
      <c r="G18" s="1" t="str">
        <f>PROPER(VLOOKUP(F18,PUC!$A$7:$I$869,2,0))</f>
        <v>Ventas</v>
      </c>
    </row>
    <row r="19">
      <c r="F19" t="s">
        <v>1263</v>
      </c>
      <c r="G19" s="1" t="str">
        <f>PROPER(VLOOKUP(F19,PUC!$A$7:$I$869,2,0))</f>
        <v xml:space="preserve">Otros Gastos De Actividades Ordinarias</v>
      </c>
    </row>
    <row r="20">
      <c r="F20" t="s">
        <v>1309</v>
      </c>
      <c r="G20" s="1" t="str">
        <f>PROPER(VLOOKUP(F20,PUC!$A$7:$I$869,2,0))</f>
        <v xml:space="preserve">Impuesto De Renta Y Complementarios</v>
      </c>
    </row>
    <row r="21">
      <c r="F21" t="s">
        <v>718</v>
      </c>
      <c r="G21" s="1" t="str">
        <f>PROPER(VLOOKUP(F21,PUC!$A$7:$I$869,2,0))</f>
        <v xml:space="preserve">Ingresos De Actividades Ordinarias</v>
      </c>
    </row>
    <row r="22">
      <c r="F22" t="s">
        <v>752</v>
      </c>
      <c r="G22" s="1" t="str">
        <f>PROPER(VLOOKUP(F22,PUC!$A$7:$I$869,2,0))</f>
        <v xml:space="preserve">Otros Ingresos De Actividades Ordinarias</v>
      </c>
    </row>
    <row r="23">
      <c r="F23" t="s">
        <v>796</v>
      </c>
      <c r="G23" s="1" t="str">
        <f>PROPER(VLOOKUP(F23,PUC!$A$7:$I$869,2,0))</f>
        <v>Ganancias</v>
      </c>
    </row>
    <row r="24">
      <c r="F24" t="s">
        <v>810</v>
      </c>
      <c r="G24" s="1" t="str">
        <f>PROPER(VLOOKUP(F24,PUC!$A$7:$I$869,2,0))</f>
        <v xml:space="preserve">Ingresos Fiscales</v>
      </c>
    </row>
    <row r="25">
      <c r="F25" t="s">
        <v>358</v>
      </c>
      <c r="G25" s="1" t="str">
        <f>PROPER(VLOOKUP(F25,PUC!$A$7:$I$869,2,0))</f>
        <v xml:space="preserve">Pasivos Financieros</v>
      </c>
      <c r="H25" s="6" t="s">
        <v>1419</v>
      </c>
    </row>
    <row r="26">
      <c r="F26" t="s">
        <v>373</v>
      </c>
      <c r="G26" s="1" t="str">
        <f>PROPER(VLOOKUP(F26,PUC!$A$7:$I$869,2,0))</f>
        <v>Proveedores</v>
      </c>
      <c r="H26" s="6" t="s">
        <v>1419</v>
      </c>
    </row>
    <row r="27">
      <c r="F27" t="s">
        <v>384</v>
      </c>
      <c r="G27" s="1" t="str">
        <f>PROPER(VLOOKUP(F27,PUC!$A$7:$I$869,2,0))</f>
        <v xml:space="preserve">Acreedores Comerciales Y Otras Cuentas Por Pagar</v>
      </c>
      <c r="H27" s="6" t="s">
        <v>1419</v>
      </c>
    </row>
    <row r="28">
      <c r="F28" t="s">
        <v>564</v>
      </c>
      <c r="G28" s="1" t="str">
        <f>PROPER(VLOOKUP(F28,PUC!$A$7:$I$869,2,0))</f>
        <v xml:space="preserve">Pasivos Por Impuestos</v>
      </c>
      <c r="H28" s="6" t="s">
        <v>1419</v>
      </c>
    </row>
    <row r="29">
      <c r="F29" t="s">
        <v>626</v>
      </c>
      <c r="G29" s="1" t="str">
        <f>PROPER(VLOOKUP(F29,PUC!$A$7:$I$869,2,0))</f>
        <v xml:space="preserve">Beneficios A Empleados</v>
      </c>
      <c r="H29" s="6" t="s">
        <v>1419</v>
      </c>
    </row>
    <row r="30">
      <c r="F30" t="s">
        <v>651</v>
      </c>
      <c r="G30" s="1" t="str">
        <f>PROPER(VLOOKUP(F30,PUC!$A$7:$I$869,2,0))</f>
        <v xml:space="preserve">Pasivos No Financieros</v>
      </c>
      <c r="H30" s="6" t="s">
        <v>1419</v>
      </c>
    </row>
    <row r="31">
      <c r="F31" t="s">
        <v>665</v>
      </c>
      <c r="G31" s="1" t="str">
        <f>PROPER(VLOOKUP(F31,PUC!$A$7:$I$869,2,0))</f>
        <v xml:space="preserve">Capital Social</v>
      </c>
    </row>
    <row r="32">
      <c r="F32" t="s">
        <v>675</v>
      </c>
      <c r="G32" s="1" t="str">
        <f>PROPER(VLOOKUP(F32,PUC!$A$7:$I$869,2,0))</f>
        <v xml:space="preserve">Superávit De Capital</v>
      </c>
    </row>
    <row r="33">
      <c r="F33" t="s">
        <v>685</v>
      </c>
      <c r="G33" s="1" t="str">
        <f>PROPER(VLOOKUP(F33,PUC!$A$7:$I$869,2,0))</f>
        <v>Reservas</v>
      </c>
    </row>
    <row r="34">
      <c r="F34" t="s">
        <v>692</v>
      </c>
      <c r="G34" s="1" t="str">
        <f>PROPER(VLOOKUP(F34,PUC!$A$7:$I$869,2,0))</f>
        <v xml:space="preserve">Resultados Del Ejercicio                          </v>
      </c>
    </row>
    <row r="35">
      <c r="F35" t="s">
        <v>699</v>
      </c>
      <c r="G35" s="1" t="str">
        <f>PROPER(VLOOKUP(F35,PUC!$A$7:$I$869,2,0))</f>
        <v xml:space="preserve">Resultados De Ejercicios Anteriores</v>
      </c>
    </row>
    <row r="36">
      <c r="F36" t="s">
        <v>710</v>
      </c>
      <c r="G36" s="1" t="str">
        <f>PROPER(VLOOKUP(F36,PUC!$A$7:$I$869,2,0))</f>
        <v xml:space="preserve">Afectaciones Fiscales De Ingresos Y Gastos</v>
      </c>
    </row>
  </sheetData>
  <pageMargins left="0.69999999999999996" right="0.69999999999999996" top="0.75" bottom="0.75" header="0.29999999999999999" footer="0.2999999999999999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outlinePr summaryBelow="0"/>
  </sheetPr>
  <sheetViews>
    <sheetView workbookViewId="0">
      <selection activeCell="J7" sqref="J7"/>
    </sheetView>
  </sheetViews>
  <sheetFormatPr baseColWidth="10" defaultColWidth="9.140625" defaultRowHeight="15"/>
  <cols>
    <col bestFit="1" customWidth="1" min="1" max="9" style="1" width="60.7109375"/>
    <col min="10" max="16384" style="1" width="9.140625"/>
  </cols>
  <sheetData>
    <row r="1" ht="18.75" collapsed="1">
      <c r="A1" s="16"/>
      <c r="B1" s="15"/>
      <c r="C1" s="15"/>
      <c r="D1" s="15"/>
      <c r="E1" s="15"/>
      <c r="F1" s="15"/>
      <c r="G1" s="15"/>
      <c r="H1" s="15"/>
      <c r="I1" s="15"/>
    </row>
    <row r="2" ht="30" customHeight="1" collapsed="1">
      <c r="A2" s="17" t="s">
        <v>0</v>
      </c>
      <c r="B2" s="15"/>
      <c r="C2" s="15"/>
      <c r="D2" s="15"/>
      <c r="E2" s="15"/>
      <c r="F2" s="15"/>
      <c r="G2" s="15"/>
      <c r="H2" s="15"/>
      <c r="I2" s="15"/>
    </row>
    <row r="3" ht="18.75" collapsed="1">
      <c r="A3" s="16" t="s">
        <v>1</v>
      </c>
      <c r="B3" s="15"/>
      <c r="C3" s="15"/>
      <c r="D3" s="15"/>
      <c r="E3" s="15"/>
      <c r="F3" s="15"/>
      <c r="G3" s="15"/>
      <c r="H3" s="15"/>
      <c r="I3" s="15"/>
    </row>
    <row r="4" ht="18.75" collapsed="1">
      <c r="A4" s="16" t="s">
        <v>2</v>
      </c>
      <c r="B4" s="15"/>
      <c r="C4" s="15"/>
      <c r="D4" s="15"/>
      <c r="E4" s="15"/>
      <c r="F4" s="15"/>
      <c r="G4" s="15"/>
      <c r="H4" s="15"/>
      <c r="I4" s="15"/>
    </row>
    <row r="5" ht="18.75" collapsed="1">
      <c r="A5" s="16"/>
      <c r="B5" s="15"/>
      <c r="C5" s="15"/>
      <c r="D5" s="15"/>
      <c r="E5" s="15"/>
      <c r="F5" s="15"/>
      <c r="G5" s="15"/>
      <c r="H5" s="15"/>
      <c r="I5" s="15"/>
    </row>
    <row r="6" collapsed="1">
      <c r="A6" s="15"/>
      <c r="B6" s="15"/>
      <c r="C6" s="15"/>
      <c r="D6" s="15"/>
      <c r="E6" s="15"/>
      <c r="F6" s="15"/>
      <c r="G6" s="15"/>
      <c r="H6" s="15"/>
      <c r="I6" s="15"/>
    </row>
    <row r="7" s="10" customFormat="1" collapsed="1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</row>
    <row r="8" s="10" customFormat="1">
      <c r="A8" s="3" t="s">
        <v>12</v>
      </c>
      <c r="B8" s="3" t="s">
        <v>10</v>
      </c>
      <c r="C8" s="3"/>
      <c r="D8" s="3"/>
      <c r="E8" s="3"/>
      <c r="F8" s="3"/>
      <c r="G8" s="3"/>
      <c r="H8" s="3"/>
      <c r="I8" s="3"/>
    </row>
    <row r="9" s="10" customFormat="1">
      <c r="A9" s="3" t="s">
        <v>13</v>
      </c>
      <c r="B9" s="3" t="s">
        <v>14</v>
      </c>
      <c r="C9" s="3"/>
      <c r="D9" s="3"/>
      <c r="E9" s="3"/>
      <c r="F9" s="3"/>
      <c r="G9" s="3"/>
      <c r="H9" s="3"/>
      <c r="I9" s="3"/>
    </row>
    <row r="10" s="10" customFormat="1">
      <c r="A10" s="3" t="s">
        <v>15</v>
      </c>
      <c r="B10" s="3" t="s">
        <v>16</v>
      </c>
      <c r="C10" s="3"/>
      <c r="D10" s="3"/>
      <c r="E10" s="3"/>
      <c r="F10" s="3"/>
      <c r="G10" s="3"/>
      <c r="H10" s="3"/>
      <c r="I10" s="3"/>
    </row>
    <row r="11" s="10" customFormat="1">
      <c r="A11" s="3" t="s">
        <v>17</v>
      </c>
      <c r="B11" s="3" t="s">
        <v>18</v>
      </c>
      <c r="C11" s="3"/>
      <c r="D11" s="3"/>
      <c r="E11" s="3"/>
      <c r="F11" s="3"/>
      <c r="G11" s="3"/>
      <c r="H11" s="3"/>
      <c r="I11" s="3"/>
    </row>
    <row r="12" s="10" customFormat="1">
      <c r="A12" s="3" t="s">
        <v>19</v>
      </c>
      <c r="B12" s="3" t="s">
        <v>18</v>
      </c>
      <c r="C12" s="3" t="s">
        <v>20</v>
      </c>
      <c r="D12" s="3" t="s">
        <v>10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</row>
    <row r="13" s="10" customFormat="1">
      <c r="A13" s="3" t="s">
        <v>26</v>
      </c>
      <c r="B13" s="3" t="s">
        <v>27</v>
      </c>
      <c r="C13" s="3"/>
      <c r="D13" s="3"/>
      <c r="E13" s="3"/>
      <c r="F13" s="3"/>
      <c r="G13" s="3"/>
      <c r="H13" s="3"/>
      <c r="I13" s="3"/>
    </row>
    <row r="14" s="10" customFormat="1">
      <c r="A14" s="3" t="s">
        <v>28</v>
      </c>
      <c r="B14" s="3" t="s">
        <v>27</v>
      </c>
      <c r="C14" s="3" t="s">
        <v>20</v>
      </c>
      <c r="D14" s="3" t="s">
        <v>10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</row>
    <row r="15" s="10" customFormat="1">
      <c r="A15" s="3" t="s">
        <v>29</v>
      </c>
      <c r="B15" s="3" t="s">
        <v>30</v>
      </c>
      <c r="C15" s="3" t="s">
        <v>20</v>
      </c>
      <c r="D15" s="3" t="s">
        <v>10</v>
      </c>
      <c r="E15" s="3" t="s">
        <v>21</v>
      </c>
      <c r="F15" s="3" t="s">
        <v>22</v>
      </c>
      <c r="G15" s="3" t="s">
        <v>23</v>
      </c>
      <c r="H15" s="3" t="s">
        <v>24</v>
      </c>
      <c r="I15" s="3" t="s">
        <v>25</v>
      </c>
    </row>
    <row r="16" s="10" customFormat="1">
      <c r="A16" s="3" t="s">
        <v>31</v>
      </c>
      <c r="B16" s="3" t="s">
        <v>32</v>
      </c>
      <c r="C16" s="3"/>
      <c r="D16" s="3"/>
      <c r="E16" s="3"/>
      <c r="F16" s="3"/>
      <c r="G16" s="3"/>
      <c r="H16" s="3"/>
      <c r="I16" s="3"/>
    </row>
    <row r="17" s="10" customFormat="1">
      <c r="A17" s="3" t="s">
        <v>33</v>
      </c>
      <c r="B17" s="3" t="s">
        <v>34</v>
      </c>
      <c r="C17" s="3"/>
      <c r="D17" s="3"/>
      <c r="E17" s="3"/>
      <c r="F17" s="3"/>
      <c r="G17" s="3"/>
      <c r="H17" s="3"/>
      <c r="I17" s="3"/>
    </row>
    <row r="18" s="10" customFormat="1">
      <c r="A18" s="3" t="s">
        <v>35</v>
      </c>
      <c r="B18" s="3" t="s">
        <v>34</v>
      </c>
      <c r="C18" s="3" t="s">
        <v>20</v>
      </c>
      <c r="D18" s="3" t="s">
        <v>10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25</v>
      </c>
    </row>
    <row r="19" s="10" customFormat="1">
      <c r="A19" s="3" t="s">
        <v>36</v>
      </c>
      <c r="B19" s="3" t="s">
        <v>37</v>
      </c>
      <c r="C19" s="3" t="s">
        <v>20</v>
      </c>
      <c r="D19" s="3" t="s">
        <v>10</v>
      </c>
      <c r="E19" s="3" t="s">
        <v>38</v>
      </c>
      <c r="F19" s="3" t="s">
        <v>22</v>
      </c>
      <c r="G19" s="3" t="s">
        <v>23</v>
      </c>
      <c r="H19" s="3" t="s">
        <v>24</v>
      </c>
      <c r="I19" s="3" t="s">
        <v>25</v>
      </c>
    </row>
    <row r="20" s="10" customFormat="1">
      <c r="A20" s="3" t="s">
        <v>39</v>
      </c>
      <c r="B20" s="3" t="s">
        <v>40</v>
      </c>
      <c r="C20" s="3" t="s">
        <v>20</v>
      </c>
      <c r="D20" s="3" t="s">
        <v>10</v>
      </c>
      <c r="E20" s="3" t="s">
        <v>38</v>
      </c>
      <c r="F20" s="3" t="s">
        <v>22</v>
      </c>
      <c r="G20" s="3" t="s">
        <v>23</v>
      </c>
      <c r="H20" s="3" t="s">
        <v>24</v>
      </c>
      <c r="I20" s="3" t="s">
        <v>25</v>
      </c>
    </row>
    <row r="21" s="10" customFormat="1">
      <c r="A21" s="3" t="s">
        <v>41</v>
      </c>
      <c r="B21" s="3" t="s">
        <v>42</v>
      </c>
      <c r="C21" s="3"/>
      <c r="D21" s="3"/>
      <c r="E21" s="3"/>
      <c r="F21" s="3"/>
      <c r="G21" s="3"/>
      <c r="H21" s="3"/>
      <c r="I21" s="3"/>
    </row>
    <row r="22" s="10" customFormat="1">
      <c r="A22" s="3" t="s">
        <v>43</v>
      </c>
      <c r="B22" s="3" t="s">
        <v>32</v>
      </c>
      <c r="C22" s="3"/>
      <c r="D22" s="3"/>
      <c r="E22" s="3"/>
      <c r="F22" s="3"/>
      <c r="G22" s="3"/>
      <c r="H22" s="3"/>
      <c r="I22" s="3"/>
    </row>
    <row r="23" s="10" customFormat="1">
      <c r="A23" s="3" t="s">
        <v>44</v>
      </c>
      <c r="B23" s="3" t="s">
        <v>45</v>
      </c>
      <c r="C23" s="3" t="s">
        <v>20</v>
      </c>
      <c r="D23" s="3" t="s">
        <v>10</v>
      </c>
      <c r="E23" s="3" t="s">
        <v>21</v>
      </c>
      <c r="F23" s="3" t="s">
        <v>22</v>
      </c>
      <c r="G23" s="3" t="s">
        <v>23</v>
      </c>
      <c r="H23" s="3" t="s">
        <v>24</v>
      </c>
      <c r="I23" s="3" t="s">
        <v>25</v>
      </c>
    </row>
    <row r="24" s="10" customFormat="1">
      <c r="A24" s="3" t="s">
        <v>46</v>
      </c>
      <c r="B24" s="3" t="s">
        <v>47</v>
      </c>
      <c r="C24" s="3" t="s">
        <v>20</v>
      </c>
      <c r="D24" s="3" t="s">
        <v>10</v>
      </c>
      <c r="E24" s="3" t="s">
        <v>21</v>
      </c>
      <c r="F24" s="3" t="s">
        <v>22</v>
      </c>
      <c r="G24" s="3" t="s">
        <v>23</v>
      </c>
      <c r="H24" s="3" t="s">
        <v>24</v>
      </c>
      <c r="I24" s="3" t="s">
        <v>25</v>
      </c>
    </row>
    <row r="25" s="10" customFormat="1">
      <c r="A25" s="3" t="s">
        <v>48</v>
      </c>
      <c r="B25" s="3" t="s">
        <v>49</v>
      </c>
      <c r="C25" s="3"/>
      <c r="D25" s="3"/>
      <c r="E25" s="3"/>
      <c r="F25" s="3"/>
      <c r="G25" s="3"/>
      <c r="H25" s="3"/>
      <c r="I25" s="3"/>
    </row>
    <row r="26" s="10" customFormat="1">
      <c r="A26" s="3" t="s">
        <v>50</v>
      </c>
      <c r="B26" s="3" t="s">
        <v>51</v>
      </c>
      <c r="C26" s="3"/>
      <c r="D26" s="3"/>
      <c r="E26" s="3"/>
      <c r="F26" s="3"/>
      <c r="G26" s="3"/>
      <c r="H26" s="3"/>
      <c r="I26" s="3"/>
    </row>
    <row r="27" s="10" customFormat="1">
      <c r="A27" s="3" t="s">
        <v>52</v>
      </c>
      <c r="B27" s="3" t="s">
        <v>51</v>
      </c>
      <c r="C27" s="3" t="s">
        <v>20</v>
      </c>
      <c r="D27" s="3" t="s">
        <v>10</v>
      </c>
      <c r="E27" s="3" t="s">
        <v>21</v>
      </c>
      <c r="F27" s="3" t="s">
        <v>22</v>
      </c>
      <c r="G27" s="3" t="s">
        <v>23</v>
      </c>
      <c r="H27" s="3" t="s">
        <v>24</v>
      </c>
      <c r="I27" s="3" t="s">
        <v>25</v>
      </c>
    </row>
    <row r="28" s="10" customFormat="1">
      <c r="A28" s="3" t="s">
        <v>53</v>
      </c>
      <c r="B28" s="3" t="s">
        <v>54</v>
      </c>
      <c r="C28" s="3" t="s">
        <v>20</v>
      </c>
      <c r="D28" s="3" t="s">
        <v>10</v>
      </c>
      <c r="E28" s="3" t="s">
        <v>21</v>
      </c>
      <c r="F28" s="3" t="s">
        <v>22</v>
      </c>
      <c r="G28" s="3" t="s">
        <v>24</v>
      </c>
      <c r="H28" s="3" t="s">
        <v>24</v>
      </c>
      <c r="I28" s="3" t="s">
        <v>25</v>
      </c>
    </row>
    <row r="29" s="10" customFormat="1">
      <c r="A29" s="3" t="s">
        <v>55</v>
      </c>
      <c r="B29" s="3" t="s">
        <v>56</v>
      </c>
      <c r="C29" s="3"/>
      <c r="D29" s="3"/>
      <c r="E29" s="3"/>
      <c r="F29" s="3"/>
      <c r="G29" s="3"/>
      <c r="H29" s="3"/>
      <c r="I29" s="3"/>
    </row>
    <row r="30" s="10" customFormat="1">
      <c r="A30" s="3" t="s">
        <v>57</v>
      </c>
      <c r="B30" s="3" t="s">
        <v>58</v>
      </c>
      <c r="C30" s="3"/>
      <c r="D30" s="3"/>
      <c r="E30" s="3"/>
      <c r="F30" s="3"/>
      <c r="G30" s="3"/>
      <c r="H30" s="3"/>
      <c r="I30" s="3"/>
    </row>
    <row r="31" s="10" customFormat="1">
      <c r="A31" s="3" t="s">
        <v>59</v>
      </c>
      <c r="B31" s="3" t="s">
        <v>60</v>
      </c>
      <c r="C31" s="3"/>
      <c r="D31" s="3"/>
      <c r="E31" s="3"/>
      <c r="F31" s="3"/>
      <c r="G31" s="3"/>
      <c r="H31" s="3"/>
      <c r="I31" s="3"/>
    </row>
    <row r="32" s="10" customFormat="1">
      <c r="A32" s="3" t="s">
        <v>61</v>
      </c>
      <c r="B32" s="3" t="s">
        <v>60</v>
      </c>
      <c r="C32" s="3" t="s">
        <v>62</v>
      </c>
      <c r="D32" s="3" t="s">
        <v>10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25</v>
      </c>
    </row>
    <row r="33" s="10" customFormat="1">
      <c r="A33" s="3" t="s">
        <v>63</v>
      </c>
      <c r="B33" s="3" t="s">
        <v>64</v>
      </c>
      <c r="C33" s="3" t="s">
        <v>62</v>
      </c>
      <c r="D33" s="3" t="s">
        <v>10</v>
      </c>
      <c r="E33" s="3" t="s">
        <v>21</v>
      </c>
      <c r="F33" s="3" t="s">
        <v>22</v>
      </c>
      <c r="G33" s="3" t="s">
        <v>23</v>
      </c>
      <c r="H33" s="3" t="s">
        <v>24</v>
      </c>
      <c r="I33" s="3" t="s">
        <v>25</v>
      </c>
    </row>
    <row r="34" s="10" customFormat="1">
      <c r="A34" s="3" t="s">
        <v>65</v>
      </c>
      <c r="B34" s="3" t="s">
        <v>66</v>
      </c>
      <c r="C34" s="3" t="s">
        <v>62</v>
      </c>
      <c r="D34" s="3" t="s">
        <v>10</v>
      </c>
      <c r="E34" s="3" t="s">
        <v>21</v>
      </c>
      <c r="F34" s="3" t="s">
        <v>22</v>
      </c>
      <c r="G34" s="3" t="s">
        <v>23</v>
      </c>
      <c r="H34" s="3" t="s">
        <v>24</v>
      </c>
      <c r="I34" s="3" t="s">
        <v>25</v>
      </c>
    </row>
    <row r="35" s="10" customFormat="1">
      <c r="A35" s="3" t="s">
        <v>67</v>
      </c>
      <c r="B35" s="3" t="s">
        <v>68</v>
      </c>
      <c r="C35" s="3"/>
      <c r="D35" s="3"/>
      <c r="E35" s="3"/>
      <c r="F35" s="3"/>
      <c r="G35" s="3"/>
      <c r="H35" s="3"/>
      <c r="I35" s="3"/>
    </row>
    <row r="36" s="10" customFormat="1">
      <c r="A36" s="3" t="s">
        <v>69</v>
      </c>
      <c r="B36" s="3" t="s">
        <v>68</v>
      </c>
      <c r="C36" s="3"/>
      <c r="D36" s="3"/>
      <c r="E36" s="3"/>
      <c r="F36" s="3"/>
      <c r="G36" s="3"/>
      <c r="H36" s="3"/>
      <c r="I36" s="3"/>
    </row>
    <row r="37" s="10" customFormat="1">
      <c r="A37" s="3" t="s">
        <v>70</v>
      </c>
      <c r="B37" s="3" t="s">
        <v>68</v>
      </c>
      <c r="C37" s="3" t="s">
        <v>62</v>
      </c>
      <c r="D37" s="3" t="s">
        <v>10</v>
      </c>
      <c r="E37" s="3" t="s">
        <v>21</v>
      </c>
      <c r="F37" s="3" t="s">
        <v>22</v>
      </c>
      <c r="G37" s="3" t="s">
        <v>23</v>
      </c>
      <c r="H37" s="3" t="s">
        <v>24</v>
      </c>
      <c r="I37" s="3" t="s">
        <v>25</v>
      </c>
    </row>
    <row r="38" s="10" customFormat="1">
      <c r="A38" s="3" t="s">
        <v>71</v>
      </c>
      <c r="B38" s="3" t="s">
        <v>72</v>
      </c>
      <c r="C38" s="3"/>
      <c r="D38" s="3"/>
      <c r="E38" s="3"/>
      <c r="F38" s="3"/>
      <c r="G38" s="3"/>
      <c r="H38" s="3"/>
      <c r="I38" s="3"/>
    </row>
    <row r="39" s="10" customFormat="1">
      <c r="A39" s="3" t="s">
        <v>73</v>
      </c>
      <c r="B39" s="3" t="s">
        <v>72</v>
      </c>
      <c r="C39" s="3" t="s">
        <v>62</v>
      </c>
      <c r="D39" s="3" t="s">
        <v>10</v>
      </c>
      <c r="E39" s="3" t="s">
        <v>21</v>
      </c>
      <c r="F39" s="3" t="s">
        <v>22</v>
      </c>
      <c r="G39" s="3" t="s">
        <v>23</v>
      </c>
      <c r="H39" s="3" t="s">
        <v>24</v>
      </c>
      <c r="I39" s="3" t="s">
        <v>25</v>
      </c>
    </row>
    <row r="40" s="10" customFormat="1">
      <c r="A40" s="3" t="s">
        <v>74</v>
      </c>
      <c r="B40" s="3" t="s">
        <v>75</v>
      </c>
      <c r="C40" s="3"/>
      <c r="D40" s="3"/>
      <c r="E40" s="3"/>
      <c r="F40" s="3"/>
      <c r="G40" s="3"/>
      <c r="H40" s="3"/>
      <c r="I40" s="3"/>
    </row>
    <row r="41" s="10" customFormat="1">
      <c r="A41" s="3" t="s">
        <v>76</v>
      </c>
      <c r="B41" s="3" t="s">
        <v>77</v>
      </c>
      <c r="C41" s="3"/>
      <c r="D41" s="3"/>
      <c r="E41" s="3"/>
      <c r="F41" s="3"/>
      <c r="G41" s="3"/>
      <c r="H41" s="3"/>
      <c r="I41" s="3"/>
    </row>
    <row r="42" s="10" customFormat="1">
      <c r="A42" s="3" t="s">
        <v>78</v>
      </c>
      <c r="B42" s="3" t="s">
        <v>77</v>
      </c>
      <c r="C42" s="3"/>
      <c r="D42" s="3"/>
      <c r="E42" s="3"/>
      <c r="F42" s="3"/>
      <c r="G42" s="3"/>
      <c r="H42" s="3"/>
      <c r="I42" s="3"/>
    </row>
    <row r="43" s="10" customFormat="1">
      <c r="A43" s="3" t="s">
        <v>79</v>
      </c>
      <c r="B43" s="3" t="s">
        <v>77</v>
      </c>
      <c r="C43" s="3" t="s">
        <v>80</v>
      </c>
      <c r="D43" s="3" t="s">
        <v>10</v>
      </c>
      <c r="E43" s="3" t="s">
        <v>21</v>
      </c>
      <c r="F43" s="3" t="s">
        <v>81</v>
      </c>
      <c r="G43" s="3" t="s">
        <v>23</v>
      </c>
      <c r="H43" s="3" t="s">
        <v>24</v>
      </c>
      <c r="I43" s="3" t="s">
        <v>25</v>
      </c>
    </row>
    <row r="44" s="10" customFormat="1">
      <c r="A44" s="3" t="s">
        <v>82</v>
      </c>
      <c r="B44" s="3" t="s">
        <v>83</v>
      </c>
      <c r="C44" s="3"/>
      <c r="D44" s="3"/>
      <c r="E44" s="3"/>
      <c r="F44" s="3"/>
      <c r="G44" s="3"/>
      <c r="H44" s="3"/>
      <c r="I44" s="3"/>
    </row>
    <row r="45" s="10" customFormat="1">
      <c r="A45" s="3" t="s">
        <v>84</v>
      </c>
      <c r="B45" s="3" t="s">
        <v>83</v>
      </c>
      <c r="C45" s="3" t="s">
        <v>80</v>
      </c>
      <c r="D45" s="3" t="s">
        <v>10</v>
      </c>
      <c r="E45" s="3" t="s">
        <v>21</v>
      </c>
      <c r="F45" s="3" t="s">
        <v>22</v>
      </c>
      <c r="G45" s="3" t="s">
        <v>23</v>
      </c>
      <c r="H45" s="3" t="s">
        <v>24</v>
      </c>
      <c r="I45" s="3" t="s">
        <v>25</v>
      </c>
    </row>
    <row r="46" s="10" customFormat="1">
      <c r="A46" s="3" t="s">
        <v>85</v>
      </c>
      <c r="B46" s="3" t="s">
        <v>86</v>
      </c>
      <c r="C46" s="3"/>
      <c r="D46" s="3"/>
      <c r="E46" s="3"/>
      <c r="F46" s="3"/>
      <c r="G46" s="3"/>
      <c r="H46" s="3"/>
      <c r="I46" s="3"/>
    </row>
    <row r="47" s="10" customFormat="1">
      <c r="A47" s="3" t="s">
        <v>87</v>
      </c>
      <c r="B47" s="3" t="s">
        <v>88</v>
      </c>
      <c r="C47" s="3"/>
      <c r="D47" s="3"/>
      <c r="E47" s="3"/>
      <c r="F47" s="3"/>
      <c r="G47" s="3"/>
      <c r="H47" s="3"/>
      <c r="I47" s="3"/>
    </row>
    <row r="48" s="10" customFormat="1">
      <c r="A48" s="3" t="s">
        <v>89</v>
      </c>
      <c r="B48" s="3" t="s">
        <v>88</v>
      </c>
      <c r="C48" s="3" t="s">
        <v>80</v>
      </c>
      <c r="D48" s="3" t="s">
        <v>10</v>
      </c>
      <c r="E48" s="3" t="s">
        <v>21</v>
      </c>
      <c r="F48" s="3" t="s">
        <v>22</v>
      </c>
      <c r="G48" s="3" t="s">
        <v>23</v>
      </c>
      <c r="H48" s="3" t="s">
        <v>24</v>
      </c>
      <c r="I48" s="3" t="s">
        <v>25</v>
      </c>
    </row>
    <row r="49" s="10" customFormat="1">
      <c r="A49" s="3" t="s">
        <v>90</v>
      </c>
      <c r="B49" s="3" t="s">
        <v>91</v>
      </c>
      <c r="C49" s="3"/>
      <c r="D49" s="3"/>
      <c r="E49" s="3"/>
      <c r="F49" s="3"/>
      <c r="G49" s="3"/>
      <c r="H49" s="3"/>
      <c r="I49" s="3"/>
    </row>
    <row r="50" s="10" customFormat="1">
      <c r="A50" s="3" t="s">
        <v>92</v>
      </c>
      <c r="B50" s="3" t="s">
        <v>93</v>
      </c>
      <c r="C50" s="3"/>
      <c r="D50" s="3"/>
      <c r="E50" s="3"/>
      <c r="F50" s="3"/>
      <c r="G50" s="3"/>
      <c r="H50" s="3"/>
      <c r="I50" s="3"/>
    </row>
    <row r="51" s="10" customFormat="1">
      <c r="A51" s="3" t="s">
        <v>94</v>
      </c>
      <c r="B51" s="3" t="s">
        <v>93</v>
      </c>
      <c r="C51" s="3" t="s">
        <v>80</v>
      </c>
      <c r="D51" s="3" t="s">
        <v>10</v>
      </c>
      <c r="E51" s="3" t="s">
        <v>21</v>
      </c>
      <c r="F51" s="3" t="s">
        <v>95</v>
      </c>
      <c r="G51" s="3" t="s">
        <v>23</v>
      </c>
      <c r="H51" s="3" t="s">
        <v>24</v>
      </c>
      <c r="I51" s="3" t="s">
        <v>25</v>
      </c>
    </row>
    <row r="52" s="10" customFormat="1">
      <c r="A52" s="3" t="s">
        <v>96</v>
      </c>
      <c r="B52" s="3" t="s">
        <v>97</v>
      </c>
      <c r="C52" s="3" t="s">
        <v>80</v>
      </c>
      <c r="D52" s="3" t="s">
        <v>10</v>
      </c>
      <c r="E52" s="3" t="s">
        <v>21</v>
      </c>
      <c r="F52" s="3" t="s">
        <v>22</v>
      </c>
      <c r="G52" s="3" t="s">
        <v>24</v>
      </c>
      <c r="H52" s="3" t="s">
        <v>24</v>
      </c>
      <c r="I52" s="3" t="s">
        <v>25</v>
      </c>
    </row>
    <row r="53" s="10" customFormat="1">
      <c r="A53" s="3" t="s">
        <v>98</v>
      </c>
      <c r="B53" s="3" t="s">
        <v>99</v>
      </c>
      <c r="C53" s="3"/>
      <c r="D53" s="3"/>
      <c r="E53" s="3"/>
      <c r="F53" s="3"/>
      <c r="G53" s="3"/>
      <c r="H53" s="3"/>
      <c r="I53" s="3"/>
    </row>
    <row r="54" s="10" customFormat="1">
      <c r="A54" s="3" t="s">
        <v>100</v>
      </c>
      <c r="B54" s="3" t="s">
        <v>99</v>
      </c>
      <c r="C54" s="3" t="s">
        <v>80</v>
      </c>
      <c r="D54" s="3" t="s">
        <v>10</v>
      </c>
      <c r="E54" s="3" t="s">
        <v>21</v>
      </c>
      <c r="F54" s="3" t="s">
        <v>22</v>
      </c>
      <c r="G54" s="3" t="s">
        <v>23</v>
      </c>
      <c r="H54" s="3" t="s">
        <v>24</v>
      </c>
      <c r="I54" s="3" t="s">
        <v>25</v>
      </c>
    </row>
    <row r="55" s="10" customFormat="1">
      <c r="A55" s="3" t="s">
        <v>101</v>
      </c>
      <c r="B55" s="3" t="s">
        <v>102</v>
      </c>
      <c r="C55" s="3" t="s">
        <v>80</v>
      </c>
      <c r="D55" s="3" t="s">
        <v>10</v>
      </c>
      <c r="E55" s="3" t="s">
        <v>21</v>
      </c>
      <c r="F55" s="3" t="s">
        <v>22</v>
      </c>
      <c r="G55" s="3" t="s">
        <v>24</v>
      </c>
      <c r="H55" s="3" t="s">
        <v>24</v>
      </c>
      <c r="I55" s="3" t="s">
        <v>25</v>
      </c>
    </row>
    <row r="56" s="10" customFormat="1">
      <c r="A56" s="3" t="s">
        <v>103</v>
      </c>
      <c r="B56" s="3" t="s">
        <v>104</v>
      </c>
      <c r="C56" s="3"/>
      <c r="D56" s="3"/>
      <c r="E56" s="3"/>
      <c r="F56" s="3"/>
      <c r="G56" s="3"/>
      <c r="H56" s="3"/>
      <c r="I56" s="3"/>
    </row>
    <row r="57" s="10" customFormat="1">
      <c r="A57" s="3" t="s">
        <v>105</v>
      </c>
      <c r="B57" s="3" t="s">
        <v>106</v>
      </c>
      <c r="C57" s="3" t="s">
        <v>80</v>
      </c>
      <c r="D57" s="3" t="s">
        <v>10</v>
      </c>
      <c r="E57" s="3" t="s">
        <v>21</v>
      </c>
      <c r="F57" s="3" t="s">
        <v>22</v>
      </c>
      <c r="G57" s="3" t="s">
        <v>23</v>
      </c>
      <c r="H57" s="3" t="s">
        <v>24</v>
      </c>
      <c r="I57" s="3" t="s">
        <v>25</v>
      </c>
    </row>
    <row r="58" s="10" customFormat="1">
      <c r="A58" s="3" t="s">
        <v>107</v>
      </c>
      <c r="B58" s="3" t="s">
        <v>108</v>
      </c>
      <c r="C58" s="3" t="s">
        <v>80</v>
      </c>
      <c r="D58" s="3" t="s">
        <v>10</v>
      </c>
      <c r="E58" s="3" t="s">
        <v>21</v>
      </c>
      <c r="F58" s="3" t="s">
        <v>22</v>
      </c>
      <c r="G58" s="3" t="s">
        <v>23</v>
      </c>
      <c r="H58" s="3" t="s">
        <v>24</v>
      </c>
      <c r="I58" s="3" t="s">
        <v>25</v>
      </c>
    </row>
    <row r="59" s="10" customFormat="1">
      <c r="A59" s="3" t="s">
        <v>109</v>
      </c>
      <c r="B59" s="3" t="s">
        <v>110</v>
      </c>
      <c r="C59" s="3" t="s">
        <v>80</v>
      </c>
      <c r="D59" s="3" t="s">
        <v>10</v>
      </c>
      <c r="E59" s="3" t="s">
        <v>21</v>
      </c>
      <c r="F59" s="3" t="s">
        <v>22</v>
      </c>
      <c r="G59" s="3" t="s">
        <v>24</v>
      </c>
      <c r="H59" s="3" t="s">
        <v>24</v>
      </c>
      <c r="I59" s="3" t="s">
        <v>25</v>
      </c>
    </row>
    <row r="60" s="10" customFormat="1">
      <c r="A60" s="3" t="s">
        <v>111</v>
      </c>
      <c r="B60" s="3" t="s">
        <v>108</v>
      </c>
      <c r="C60" s="3"/>
      <c r="D60" s="3"/>
      <c r="E60" s="3"/>
      <c r="F60" s="3"/>
      <c r="G60" s="3"/>
      <c r="H60" s="3"/>
      <c r="I60" s="3"/>
    </row>
    <row r="61" s="10" customFormat="1">
      <c r="A61" s="3" t="s">
        <v>112</v>
      </c>
      <c r="B61" s="3" t="s">
        <v>108</v>
      </c>
      <c r="C61" s="3" t="s">
        <v>80</v>
      </c>
      <c r="D61" s="3" t="s">
        <v>10</v>
      </c>
      <c r="E61" s="3" t="s">
        <v>21</v>
      </c>
      <c r="F61" s="3" t="s">
        <v>22</v>
      </c>
      <c r="G61" s="3" t="s">
        <v>23</v>
      </c>
      <c r="H61" s="3" t="s">
        <v>24</v>
      </c>
      <c r="I61" s="3" t="s">
        <v>25</v>
      </c>
    </row>
    <row r="62" s="10" customFormat="1">
      <c r="A62" s="3" t="s">
        <v>113</v>
      </c>
      <c r="B62" s="3" t="s">
        <v>114</v>
      </c>
      <c r="C62" s="3"/>
      <c r="D62" s="3"/>
      <c r="E62" s="3"/>
      <c r="F62" s="3"/>
      <c r="G62" s="3"/>
      <c r="H62" s="3"/>
      <c r="I62" s="3"/>
    </row>
    <row r="63" s="10" customFormat="1">
      <c r="A63" s="3" t="s">
        <v>115</v>
      </c>
      <c r="B63" s="3" t="s">
        <v>116</v>
      </c>
      <c r="C63" s="3"/>
      <c r="D63" s="3"/>
      <c r="E63" s="3"/>
      <c r="F63" s="3"/>
      <c r="G63" s="3"/>
      <c r="H63" s="3"/>
      <c r="I63" s="3"/>
    </row>
    <row r="64" s="10" customFormat="1">
      <c r="A64" s="3" t="s">
        <v>117</v>
      </c>
      <c r="B64" s="3" t="s">
        <v>116</v>
      </c>
      <c r="C64" s="3" t="s">
        <v>80</v>
      </c>
      <c r="D64" s="3" t="s">
        <v>10</v>
      </c>
      <c r="E64" s="3" t="s">
        <v>21</v>
      </c>
      <c r="F64" s="3" t="s">
        <v>22</v>
      </c>
      <c r="G64" s="3" t="s">
        <v>23</v>
      </c>
      <c r="H64" s="3" t="s">
        <v>24</v>
      </c>
      <c r="I64" s="3" t="s">
        <v>25</v>
      </c>
    </row>
    <row r="65" s="10" customFormat="1">
      <c r="A65" s="3" t="s">
        <v>118</v>
      </c>
      <c r="B65" s="3" t="s">
        <v>119</v>
      </c>
      <c r="C65" s="3"/>
      <c r="D65" s="3"/>
      <c r="E65" s="3"/>
      <c r="F65" s="3"/>
      <c r="G65" s="3"/>
      <c r="H65" s="3"/>
      <c r="I65" s="3"/>
    </row>
    <row r="66" s="10" customFormat="1">
      <c r="A66" s="3" t="s">
        <v>120</v>
      </c>
      <c r="B66" s="3" t="s">
        <v>121</v>
      </c>
      <c r="C66" s="3" t="s">
        <v>80</v>
      </c>
      <c r="D66" s="3" t="s">
        <v>10</v>
      </c>
      <c r="E66" s="3" t="s">
        <v>122</v>
      </c>
      <c r="F66" s="3" t="s">
        <v>22</v>
      </c>
      <c r="G66" s="3" t="s">
        <v>23</v>
      </c>
      <c r="H66" s="3" t="s">
        <v>24</v>
      </c>
      <c r="I66" s="3" t="s">
        <v>25</v>
      </c>
    </row>
    <row r="67" s="10" customFormat="1">
      <c r="A67" s="3" t="s">
        <v>123</v>
      </c>
      <c r="B67" s="3" t="s">
        <v>124</v>
      </c>
      <c r="C67" s="3" t="s">
        <v>80</v>
      </c>
      <c r="D67" s="3" t="s">
        <v>10</v>
      </c>
      <c r="E67" s="3" t="s">
        <v>125</v>
      </c>
      <c r="F67" s="3" t="s">
        <v>22</v>
      </c>
      <c r="G67" s="3" t="s">
        <v>23</v>
      </c>
      <c r="H67" s="3" t="s">
        <v>24</v>
      </c>
      <c r="I67" s="3" t="s">
        <v>25</v>
      </c>
    </row>
    <row r="68" s="10" customFormat="1">
      <c r="A68" s="3" t="s">
        <v>126</v>
      </c>
      <c r="B68" s="3" t="s">
        <v>127</v>
      </c>
      <c r="C68" s="3" t="s">
        <v>80</v>
      </c>
      <c r="D68" s="3" t="s">
        <v>10</v>
      </c>
      <c r="E68" s="3" t="s">
        <v>122</v>
      </c>
      <c r="F68" s="3" t="s">
        <v>22</v>
      </c>
      <c r="G68" s="3" t="s">
        <v>23</v>
      </c>
      <c r="H68" s="3" t="s">
        <v>24</v>
      </c>
      <c r="I68" s="3" t="s">
        <v>25</v>
      </c>
    </row>
    <row r="69" s="10" customFormat="1">
      <c r="A69" s="3" t="s">
        <v>128</v>
      </c>
      <c r="B69" s="3" t="s">
        <v>129</v>
      </c>
      <c r="C69" s="3" t="s">
        <v>80</v>
      </c>
      <c r="D69" s="3" t="s">
        <v>10</v>
      </c>
      <c r="E69" s="3" t="s">
        <v>125</v>
      </c>
      <c r="F69" s="3" t="s">
        <v>22</v>
      </c>
      <c r="G69" s="3" t="s">
        <v>23</v>
      </c>
      <c r="H69" s="3" t="s">
        <v>24</v>
      </c>
      <c r="I69" s="3" t="s">
        <v>25</v>
      </c>
    </row>
    <row r="70" s="10" customFormat="1">
      <c r="A70" s="3" t="s">
        <v>130</v>
      </c>
      <c r="B70" s="3" t="s">
        <v>131</v>
      </c>
      <c r="C70" s="3" t="s">
        <v>80</v>
      </c>
      <c r="D70" s="3" t="s">
        <v>10</v>
      </c>
      <c r="E70" s="3" t="s">
        <v>122</v>
      </c>
      <c r="F70" s="3" t="s">
        <v>22</v>
      </c>
      <c r="G70" s="3" t="s">
        <v>23</v>
      </c>
      <c r="H70" s="3" t="s">
        <v>24</v>
      </c>
      <c r="I70" s="3" t="s">
        <v>25</v>
      </c>
    </row>
    <row r="71" s="10" customFormat="1">
      <c r="A71" s="3" t="s">
        <v>132</v>
      </c>
      <c r="B71" s="3" t="s">
        <v>133</v>
      </c>
      <c r="C71" s="3" t="s">
        <v>80</v>
      </c>
      <c r="D71" s="3" t="s">
        <v>10</v>
      </c>
      <c r="E71" s="3" t="s">
        <v>125</v>
      </c>
      <c r="F71" s="3" t="s">
        <v>22</v>
      </c>
      <c r="G71" s="3" t="s">
        <v>23</v>
      </c>
      <c r="H71" s="3" t="s">
        <v>24</v>
      </c>
      <c r="I71" s="3" t="s">
        <v>25</v>
      </c>
    </row>
    <row r="72" s="10" customFormat="1">
      <c r="A72" s="3" t="s">
        <v>134</v>
      </c>
      <c r="B72" s="3" t="s">
        <v>135</v>
      </c>
      <c r="C72" s="3" t="s">
        <v>80</v>
      </c>
      <c r="D72" s="3" t="s">
        <v>10</v>
      </c>
      <c r="E72" s="3" t="s">
        <v>122</v>
      </c>
      <c r="F72" s="3" t="s">
        <v>22</v>
      </c>
      <c r="G72" s="3" t="s">
        <v>23</v>
      </c>
      <c r="H72" s="3" t="s">
        <v>24</v>
      </c>
      <c r="I72" s="3" t="s">
        <v>25</v>
      </c>
    </row>
    <row r="73" s="10" customFormat="1">
      <c r="A73" s="3" t="s">
        <v>136</v>
      </c>
      <c r="B73" s="3" t="s">
        <v>137</v>
      </c>
      <c r="C73" s="3" t="s">
        <v>80</v>
      </c>
      <c r="D73" s="3" t="s">
        <v>10</v>
      </c>
      <c r="E73" s="3" t="s">
        <v>125</v>
      </c>
      <c r="F73" s="3" t="s">
        <v>22</v>
      </c>
      <c r="G73" s="3" t="s">
        <v>23</v>
      </c>
      <c r="H73" s="3" t="s">
        <v>24</v>
      </c>
      <c r="I73" s="3" t="s">
        <v>25</v>
      </c>
    </row>
    <row r="74" s="10" customFormat="1">
      <c r="A74" s="3" t="s">
        <v>138</v>
      </c>
      <c r="B74" s="3" t="s">
        <v>139</v>
      </c>
      <c r="C74" s="3" t="s">
        <v>80</v>
      </c>
      <c r="D74" s="3" t="s">
        <v>10</v>
      </c>
      <c r="E74" s="3" t="s">
        <v>122</v>
      </c>
      <c r="F74" s="3" t="s">
        <v>22</v>
      </c>
      <c r="G74" s="3" t="s">
        <v>23</v>
      </c>
      <c r="H74" s="3" t="s">
        <v>24</v>
      </c>
      <c r="I74" s="3" t="s">
        <v>25</v>
      </c>
    </row>
    <row r="75" s="10" customFormat="1">
      <c r="A75" s="3" t="s">
        <v>140</v>
      </c>
      <c r="B75" s="3" t="s">
        <v>141</v>
      </c>
      <c r="C75" s="3" t="s">
        <v>80</v>
      </c>
      <c r="D75" s="3" t="s">
        <v>10</v>
      </c>
      <c r="E75" s="3" t="s">
        <v>125</v>
      </c>
      <c r="F75" s="3" t="s">
        <v>22</v>
      </c>
      <c r="G75" s="3" t="s">
        <v>23</v>
      </c>
      <c r="H75" s="3" t="s">
        <v>24</v>
      </c>
      <c r="I75" s="3" t="s">
        <v>25</v>
      </c>
    </row>
    <row r="76" s="10" customFormat="1">
      <c r="A76" s="3" t="s">
        <v>142</v>
      </c>
      <c r="B76" s="3" t="s">
        <v>143</v>
      </c>
      <c r="C76" s="3" t="s">
        <v>80</v>
      </c>
      <c r="D76" s="3" t="s">
        <v>10</v>
      </c>
      <c r="E76" s="3" t="s">
        <v>122</v>
      </c>
      <c r="F76" s="3" t="s">
        <v>22</v>
      </c>
      <c r="G76" s="3" t="s">
        <v>23</v>
      </c>
      <c r="H76" s="3" t="s">
        <v>24</v>
      </c>
      <c r="I76" s="3" t="s">
        <v>25</v>
      </c>
    </row>
    <row r="77" s="10" customFormat="1">
      <c r="A77" s="3" t="s">
        <v>144</v>
      </c>
      <c r="B77" s="3" t="s">
        <v>145</v>
      </c>
      <c r="C77" s="3" t="s">
        <v>80</v>
      </c>
      <c r="D77" s="3" t="s">
        <v>10</v>
      </c>
      <c r="E77" s="3" t="s">
        <v>125</v>
      </c>
      <c r="F77" s="3" t="s">
        <v>22</v>
      </c>
      <c r="G77" s="3" t="s">
        <v>23</v>
      </c>
      <c r="H77" s="3" t="s">
        <v>24</v>
      </c>
      <c r="I77" s="3" t="s">
        <v>25</v>
      </c>
    </row>
    <row r="78" s="10" customFormat="1">
      <c r="A78" s="3" t="s">
        <v>146</v>
      </c>
      <c r="B78" s="3" t="s">
        <v>147</v>
      </c>
      <c r="C78" s="3" t="s">
        <v>80</v>
      </c>
      <c r="D78" s="3" t="s">
        <v>10</v>
      </c>
      <c r="E78" s="3" t="s">
        <v>122</v>
      </c>
      <c r="F78" s="3" t="s">
        <v>22</v>
      </c>
      <c r="G78" s="3" t="s">
        <v>23</v>
      </c>
      <c r="H78" s="3" t="s">
        <v>24</v>
      </c>
      <c r="I78" s="3" t="s">
        <v>25</v>
      </c>
    </row>
    <row r="79" s="10" customFormat="1">
      <c r="A79" s="3" t="s">
        <v>148</v>
      </c>
      <c r="B79" s="3" t="s">
        <v>149</v>
      </c>
      <c r="C79" s="3" t="s">
        <v>80</v>
      </c>
      <c r="D79" s="3" t="s">
        <v>10</v>
      </c>
      <c r="E79" s="3" t="s">
        <v>125</v>
      </c>
      <c r="F79" s="3" t="s">
        <v>22</v>
      </c>
      <c r="G79" s="3" t="s">
        <v>23</v>
      </c>
      <c r="H79" s="3" t="s">
        <v>24</v>
      </c>
      <c r="I79" s="3" t="s">
        <v>25</v>
      </c>
    </row>
    <row r="80" s="10" customFormat="1">
      <c r="A80" s="3" t="s">
        <v>150</v>
      </c>
      <c r="B80" s="3" t="s">
        <v>151</v>
      </c>
      <c r="C80" s="3" t="s">
        <v>80</v>
      </c>
      <c r="D80" s="3" t="s">
        <v>10</v>
      </c>
      <c r="E80" s="3" t="s">
        <v>122</v>
      </c>
      <c r="F80" s="3" t="s">
        <v>22</v>
      </c>
      <c r="G80" s="3" t="s">
        <v>23</v>
      </c>
      <c r="H80" s="3" t="s">
        <v>24</v>
      </c>
      <c r="I80" s="3" t="s">
        <v>25</v>
      </c>
    </row>
    <row r="81" s="10" customFormat="1">
      <c r="A81" s="3" t="s">
        <v>152</v>
      </c>
      <c r="B81" s="3" t="s">
        <v>153</v>
      </c>
      <c r="C81" s="3" t="s">
        <v>80</v>
      </c>
      <c r="D81" s="3" t="s">
        <v>10</v>
      </c>
      <c r="E81" s="3" t="s">
        <v>125</v>
      </c>
      <c r="F81" s="3" t="s">
        <v>22</v>
      </c>
      <c r="G81" s="3" t="s">
        <v>23</v>
      </c>
      <c r="H81" s="3" t="s">
        <v>24</v>
      </c>
      <c r="I81" s="3" t="s">
        <v>25</v>
      </c>
    </row>
    <row r="82" s="10" customFormat="1">
      <c r="A82" s="3" t="s">
        <v>154</v>
      </c>
      <c r="B82" s="3" t="s">
        <v>155</v>
      </c>
      <c r="C82" s="3" t="s">
        <v>80</v>
      </c>
      <c r="D82" s="3" t="s">
        <v>10</v>
      </c>
      <c r="E82" s="3" t="s">
        <v>122</v>
      </c>
      <c r="F82" s="3" t="s">
        <v>22</v>
      </c>
      <c r="G82" s="3" t="s">
        <v>23</v>
      </c>
      <c r="H82" s="3" t="s">
        <v>24</v>
      </c>
      <c r="I82" s="3" t="s">
        <v>25</v>
      </c>
    </row>
    <row r="83" s="10" customFormat="1">
      <c r="A83" s="3" t="s">
        <v>156</v>
      </c>
      <c r="B83" s="3" t="s">
        <v>157</v>
      </c>
      <c r="C83" s="3" t="s">
        <v>80</v>
      </c>
      <c r="D83" s="3" t="s">
        <v>10</v>
      </c>
      <c r="E83" s="3" t="s">
        <v>125</v>
      </c>
      <c r="F83" s="3" t="s">
        <v>22</v>
      </c>
      <c r="G83" s="3" t="s">
        <v>23</v>
      </c>
      <c r="H83" s="3" t="s">
        <v>24</v>
      </c>
      <c r="I83" s="3" t="s">
        <v>25</v>
      </c>
    </row>
    <row r="84" s="10" customFormat="1">
      <c r="A84" s="3" t="s">
        <v>158</v>
      </c>
      <c r="B84" s="3" t="s">
        <v>159</v>
      </c>
      <c r="C84" s="3"/>
      <c r="D84" s="3"/>
      <c r="E84" s="3"/>
      <c r="F84" s="3"/>
      <c r="G84" s="3"/>
      <c r="H84" s="3"/>
      <c r="I84" s="3"/>
    </row>
    <row r="85" s="10" customFormat="1">
      <c r="A85" s="3" t="s">
        <v>160</v>
      </c>
      <c r="B85" s="3" t="s">
        <v>161</v>
      </c>
      <c r="C85" s="3" t="s">
        <v>80</v>
      </c>
      <c r="D85" s="3" t="s">
        <v>10</v>
      </c>
      <c r="E85" s="3" t="s">
        <v>122</v>
      </c>
      <c r="F85" s="3" t="s">
        <v>22</v>
      </c>
      <c r="G85" s="3" t="s">
        <v>23</v>
      </c>
      <c r="H85" s="3" t="s">
        <v>24</v>
      </c>
      <c r="I85" s="3" t="s">
        <v>25</v>
      </c>
    </row>
    <row r="86" s="10" customFormat="1">
      <c r="A86" s="3" t="s">
        <v>162</v>
      </c>
      <c r="B86" s="3" t="s">
        <v>163</v>
      </c>
      <c r="C86" s="3" t="s">
        <v>80</v>
      </c>
      <c r="D86" s="3" t="s">
        <v>10</v>
      </c>
      <c r="E86" s="3" t="s">
        <v>125</v>
      </c>
      <c r="F86" s="3" t="s">
        <v>22</v>
      </c>
      <c r="G86" s="3" t="s">
        <v>23</v>
      </c>
      <c r="H86" s="3" t="s">
        <v>24</v>
      </c>
      <c r="I86" s="3" t="s">
        <v>25</v>
      </c>
    </row>
    <row r="87" s="10" customFormat="1">
      <c r="A87" s="3" t="s">
        <v>164</v>
      </c>
      <c r="B87" s="3" t="s">
        <v>165</v>
      </c>
      <c r="C87" s="3"/>
      <c r="D87" s="3"/>
      <c r="E87" s="3"/>
      <c r="F87" s="3"/>
      <c r="G87" s="3"/>
      <c r="H87" s="3"/>
      <c r="I87" s="3"/>
    </row>
    <row r="88" s="10" customFormat="1">
      <c r="A88" s="3" t="s">
        <v>166</v>
      </c>
      <c r="B88" s="3" t="s">
        <v>167</v>
      </c>
      <c r="C88" s="3" t="s">
        <v>80</v>
      </c>
      <c r="D88" s="3" t="s">
        <v>10</v>
      </c>
      <c r="E88" s="3" t="s">
        <v>122</v>
      </c>
      <c r="F88" s="3" t="s">
        <v>22</v>
      </c>
      <c r="G88" s="3" t="s">
        <v>23</v>
      </c>
      <c r="H88" s="3" t="s">
        <v>24</v>
      </c>
      <c r="I88" s="3" t="s">
        <v>25</v>
      </c>
    </row>
    <row r="89" s="10" customFormat="1">
      <c r="A89" s="3" t="s">
        <v>168</v>
      </c>
      <c r="B89" s="3" t="s">
        <v>169</v>
      </c>
      <c r="C89" s="3" t="s">
        <v>80</v>
      </c>
      <c r="D89" s="3" t="s">
        <v>10</v>
      </c>
      <c r="E89" s="3" t="s">
        <v>125</v>
      </c>
      <c r="F89" s="3" t="s">
        <v>22</v>
      </c>
      <c r="G89" s="3" t="s">
        <v>23</v>
      </c>
      <c r="H89" s="3" t="s">
        <v>24</v>
      </c>
      <c r="I89" s="3" t="s">
        <v>25</v>
      </c>
    </row>
    <row r="90" s="10" customFormat="1">
      <c r="A90" s="3" t="s">
        <v>170</v>
      </c>
      <c r="B90" s="3" t="s">
        <v>171</v>
      </c>
      <c r="C90" s="3" t="s">
        <v>80</v>
      </c>
      <c r="D90" s="3" t="s">
        <v>10</v>
      </c>
      <c r="E90" s="3" t="s">
        <v>122</v>
      </c>
      <c r="F90" s="3" t="s">
        <v>22</v>
      </c>
      <c r="G90" s="3" t="s">
        <v>23</v>
      </c>
      <c r="H90" s="3" t="s">
        <v>24</v>
      </c>
      <c r="I90" s="3" t="s">
        <v>25</v>
      </c>
    </row>
    <row r="91" s="10" customFormat="1">
      <c r="A91" s="3" t="s">
        <v>172</v>
      </c>
      <c r="B91" s="3" t="s">
        <v>173</v>
      </c>
      <c r="C91" s="3" t="s">
        <v>80</v>
      </c>
      <c r="D91" s="3" t="s">
        <v>10</v>
      </c>
      <c r="E91" s="3" t="s">
        <v>125</v>
      </c>
      <c r="F91" s="3" t="s">
        <v>22</v>
      </c>
      <c r="G91" s="3" t="s">
        <v>23</v>
      </c>
      <c r="H91" s="3" t="s">
        <v>24</v>
      </c>
      <c r="I91" s="3" t="s">
        <v>25</v>
      </c>
    </row>
    <row r="92" s="10" customFormat="1">
      <c r="A92" s="3" t="s">
        <v>174</v>
      </c>
      <c r="B92" s="3" t="s">
        <v>175</v>
      </c>
      <c r="C92" s="3" t="s">
        <v>80</v>
      </c>
      <c r="D92" s="3" t="s">
        <v>10</v>
      </c>
      <c r="E92" s="3" t="s">
        <v>122</v>
      </c>
      <c r="F92" s="3" t="s">
        <v>22</v>
      </c>
      <c r="G92" s="3" t="s">
        <v>23</v>
      </c>
      <c r="H92" s="3" t="s">
        <v>24</v>
      </c>
      <c r="I92" s="3" t="s">
        <v>25</v>
      </c>
    </row>
    <row r="93" s="10" customFormat="1">
      <c r="A93" s="3" t="s">
        <v>176</v>
      </c>
      <c r="B93" s="3" t="s">
        <v>177</v>
      </c>
      <c r="C93" s="3" t="s">
        <v>80</v>
      </c>
      <c r="D93" s="3" t="s">
        <v>10</v>
      </c>
      <c r="E93" s="3" t="s">
        <v>125</v>
      </c>
      <c r="F93" s="3" t="s">
        <v>22</v>
      </c>
      <c r="G93" s="3" t="s">
        <v>23</v>
      </c>
      <c r="H93" s="3" t="s">
        <v>24</v>
      </c>
      <c r="I93" s="3" t="s">
        <v>25</v>
      </c>
    </row>
    <row r="94" s="10" customFormat="1">
      <c r="A94" s="3" t="s">
        <v>178</v>
      </c>
      <c r="B94" s="3" t="s">
        <v>179</v>
      </c>
      <c r="C94" s="3" t="s">
        <v>80</v>
      </c>
      <c r="D94" s="3" t="s">
        <v>10</v>
      </c>
      <c r="E94" s="3" t="s">
        <v>122</v>
      </c>
      <c r="F94" s="3" t="s">
        <v>22</v>
      </c>
      <c r="G94" s="3" t="s">
        <v>23</v>
      </c>
      <c r="H94" s="3" t="s">
        <v>24</v>
      </c>
      <c r="I94" s="3" t="s">
        <v>25</v>
      </c>
    </row>
    <row r="95" s="10" customFormat="1">
      <c r="A95" s="3" t="s">
        <v>180</v>
      </c>
      <c r="B95" s="3" t="s">
        <v>181</v>
      </c>
      <c r="C95" s="3" t="s">
        <v>80</v>
      </c>
      <c r="D95" s="3" t="s">
        <v>10</v>
      </c>
      <c r="E95" s="3" t="s">
        <v>125</v>
      </c>
      <c r="F95" s="3" t="s">
        <v>22</v>
      </c>
      <c r="G95" s="3" t="s">
        <v>23</v>
      </c>
      <c r="H95" s="3" t="s">
        <v>24</v>
      </c>
      <c r="I95" s="3" t="s">
        <v>25</v>
      </c>
    </row>
    <row r="96" s="10" customFormat="1">
      <c r="A96" s="3" t="s">
        <v>182</v>
      </c>
      <c r="B96" s="3" t="s">
        <v>183</v>
      </c>
      <c r="C96" s="3" t="s">
        <v>80</v>
      </c>
      <c r="D96" s="3" t="s">
        <v>10</v>
      </c>
      <c r="E96" s="3" t="s">
        <v>122</v>
      </c>
      <c r="F96" s="3" t="s">
        <v>22</v>
      </c>
      <c r="G96" s="3" t="s">
        <v>23</v>
      </c>
      <c r="H96" s="3" t="s">
        <v>24</v>
      </c>
      <c r="I96" s="3" t="s">
        <v>25</v>
      </c>
    </row>
    <row r="97" s="10" customFormat="1">
      <c r="A97" s="3" t="s">
        <v>184</v>
      </c>
      <c r="B97" s="3" t="s">
        <v>185</v>
      </c>
      <c r="C97" s="3" t="s">
        <v>80</v>
      </c>
      <c r="D97" s="3" t="s">
        <v>10</v>
      </c>
      <c r="E97" s="3" t="s">
        <v>125</v>
      </c>
      <c r="F97" s="3" t="s">
        <v>22</v>
      </c>
      <c r="G97" s="3" t="s">
        <v>23</v>
      </c>
      <c r="H97" s="3" t="s">
        <v>24</v>
      </c>
      <c r="I97" s="3" t="s">
        <v>25</v>
      </c>
    </row>
    <row r="98" s="10" customFormat="1">
      <c r="A98" s="3" t="s">
        <v>186</v>
      </c>
      <c r="B98" s="3" t="s">
        <v>187</v>
      </c>
      <c r="C98" s="3" t="s">
        <v>80</v>
      </c>
      <c r="D98" s="3" t="s">
        <v>10</v>
      </c>
      <c r="E98" s="3" t="s">
        <v>122</v>
      </c>
      <c r="F98" s="3" t="s">
        <v>22</v>
      </c>
      <c r="G98" s="3" t="s">
        <v>23</v>
      </c>
      <c r="H98" s="3" t="s">
        <v>24</v>
      </c>
      <c r="I98" s="3" t="s">
        <v>25</v>
      </c>
    </row>
    <row r="99" s="10" customFormat="1">
      <c r="A99" s="3" t="s">
        <v>188</v>
      </c>
      <c r="B99" s="3" t="s">
        <v>189</v>
      </c>
      <c r="C99" s="3" t="s">
        <v>80</v>
      </c>
      <c r="D99" s="3" t="s">
        <v>10</v>
      </c>
      <c r="E99" s="3" t="s">
        <v>125</v>
      </c>
      <c r="F99" s="3" t="s">
        <v>22</v>
      </c>
      <c r="G99" s="3" t="s">
        <v>23</v>
      </c>
      <c r="H99" s="3" t="s">
        <v>24</v>
      </c>
      <c r="I99" s="3" t="s">
        <v>25</v>
      </c>
    </row>
    <row r="100" s="10" customFormat="1">
      <c r="A100" s="3" t="s">
        <v>190</v>
      </c>
      <c r="B100" s="3" t="s">
        <v>191</v>
      </c>
      <c r="C100" s="3" t="s">
        <v>80</v>
      </c>
      <c r="D100" s="3" t="s">
        <v>10</v>
      </c>
      <c r="E100" s="3" t="s">
        <v>122</v>
      </c>
      <c r="F100" s="3" t="s">
        <v>22</v>
      </c>
      <c r="G100" s="3" t="s">
        <v>23</v>
      </c>
      <c r="H100" s="3" t="s">
        <v>24</v>
      </c>
      <c r="I100" s="3" t="s">
        <v>25</v>
      </c>
    </row>
    <row r="101" s="10" customFormat="1">
      <c r="A101" s="3" t="s">
        <v>192</v>
      </c>
      <c r="B101" s="3" t="s">
        <v>193</v>
      </c>
      <c r="C101" s="3" t="s">
        <v>80</v>
      </c>
      <c r="D101" s="3" t="s">
        <v>10</v>
      </c>
      <c r="E101" s="3" t="s">
        <v>125</v>
      </c>
      <c r="F101" s="3" t="s">
        <v>22</v>
      </c>
      <c r="G101" s="3" t="s">
        <v>23</v>
      </c>
      <c r="H101" s="3" t="s">
        <v>24</v>
      </c>
      <c r="I101" s="3" t="s">
        <v>25</v>
      </c>
    </row>
    <row r="102" s="10" customFormat="1">
      <c r="A102" s="3" t="s">
        <v>194</v>
      </c>
      <c r="B102" s="3" t="s">
        <v>165</v>
      </c>
      <c r="C102" s="3" t="s">
        <v>80</v>
      </c>
      <c r="D102" s="3" t="s">
        <v>10</v>
      </c>
      <c r="E102" s="3" t="s">
        <v>21</v>
      </c>
      <c r="F102" s="3" t="s">
        <v>22</v>
      </c>
      <c r="G102" s="3" t="s">
        <v>23</v>
      </c>
      <c r="H102" s="3" t="s">
        <v>24</v>
      </c>
      <c r="I102" s="3" t="s">
        <v>25</v>
      </c>
    </row>
    <row r="103" s="10" customFormat="1">
      <c r="A103" s="3" t="s">
        <v>195</v>
      </c>
      <c r="B103" s="3" t="s">
        <v>196</v>
      </c>
      <c r="C103" s="3" t="s">
        <v>80</v>
      </c>
      <c r="D103" s="3" t="s">
        <v>10</v>
      </c>
      <c r="E103" s="3" t="s">
        <v>21</v>
      </c>
      <c r="F103" s="3" t="s">
        <v>22</v>
      </c>
      <c r="G103" s="3" t="s">
        <v>23</v>
      </c>
      <c r="H103" s="3" t="s">
        <v>24</v>
      </c>
      <c r="I103" s="3" t="s">
        <v>25</v>
      </c>
    </row>
    <row r="104" s="10" customFormat="1">
      <c r="A104" s="3" t="s">
        <v>197</v>
      </c>
      <c r="B104" s="3" t="s">
        <v>198</v>
      </c>
      <c r="C104" s="3" t="s">
        <v>80</v>
      </c>
      <c r="D104" s="3" t="s">
        <v>10</v>
      </c>
      <c r="E104" s="3" t="s">
        <v>21</v>
      </c>
      <c r="F104" s="3" t="s">
        <v>22</v>
      </c>
      <c r="G104" s="3" t="s">
        <v>23</v>
      </c>
      <c r="H104" s="3" t="s">
        <v>24</v>
      </c>
      <c r="I104" s="3" t="s">
        <v>25</v>
      </c>
    </row>
    <row r="105" s="10" customFormat="1">
      <c r="A105" s="3" t="s">
        <v>199</v>
      </c>
      <c r="B105" s="3" t="s">
        <v>200</v>
      </c>
      <c r="C105" s="3" t="s">
        <v>80</v>
      </c>
      <c r="D105" s="3" t="s">
        <v>10</v>
      </c>
      <c r="E105" s="3" t="s">
        <v>21</v>
      </c>
      <c r="F105" s="3" t="s">
        <v>22</v>
      </c>
      <c r="G105" s="3" t="s">
        <v>23</v>
      </c>
      <c r="H105" s="3" t="s">
        <v>24</v>
      </c>
      <c r="I105" s="3" t="s">
        <v>25</v>
      </c>
    </row>
    <row r="106" s="10" customFormat="1">
      <c r="A106" s="3" t="s">
        <v>201</v>
      </c>
      <c r="B106" s="3" t="s">
        <v>202</v>
      </c>
      <c r="C106" s="3"/>
      <c r="D106" s="3"/>
      <c r="E106" s="3"/>
      <c r="F106" s="3"/>
      <c r="G106" s="3"/>
      <c r="H106" s="3"/>
      <c r="I106" s="3"/>
    </row>
    <row r="107" s="10" customFormat="1">
      <c r="A107" s="3" t="s">
        <v>203</v>
      </c>
      <c r="B107" s="3" t="s">
        <v>204</v>
      </c>
      <c r="C107" s="3" t="s">
        <v>205</v>
      </c>
      <c r="D107" s="3" t="s">
        <v>10</v>
      </c>
      <c r="E107" s="3" t="s">
        <v>21</v>
      </c>
      <c r="F107" s="3" t="s">
        <v>22</v>
      </c>
      <c r="G107" s="3" t="s">
        <v>23</v>
      </c>
      <c r="H107" s="3" t="s">
        <v>24</v>
      </c>
      <c r="I107" s="3" t="s">
        <v>25</v>
      </c>
    </row>
    <row r="108" s="10" customFormat="1">
      <c r="A108" s="3" t="s">
        <v>206</v>
      </c>
      <c r="B108" s="3" t="s">
        <v>207</v>
      </c>
      <c r="C108" s="3" t="s">
        <v>205</v>
      </c>
      <c r="D108" s="3" t="s">
        <v>10</v>
      </c>
      <c r="E108" s="3" t="s">
        <v>21</v>
      </c>
      <c r="F108" s="3" t="s">
        <v>22</v>
      </c>
      <c r="G108" s="3" t="s">
        <v>23</v>
      </c>
      <c r="H108" s="3" t="s">
        <v>24</v>
      </c>
      <c r="I108" s="3" t="s">
        <v>25</v>
      </c>
    </row>
    <row r="109" s="10" customFormat="1">
      <c r="A109" s="3" t="s">
        <v>208</v>
      </c>
      <c r="B109" s="3" t="s">
        <v>209</v>
      </c>
      <c r="C109" s="3"/>
      <c r="D109" s="3"/>
      <c r="E109" s="3"/>
      <c r="F109" s="3"/>
      <c r="G109" s="3"/>
      <c r="H109" s="3"/>
      <c r="I109" s="3"/>
    </row>
    <row r="110" s="10" customFormat="1">
      <c r="A110" s="3" t="s">
        <v>210</v>
      </c>
      <c r="B110" s="3" t="s">
        <v>211</v>
      </c>
      <c r="C110" s="3"/>
      <c r="D110" s="3"/>
      <c r="E110" s="3"/>
      <c r="F110" s="3"/>
      <c r="G110" s="3"/>
      <c r="H110" s="3"/>
      <c r="I110" s="3"/>
    </row>
    <row r="111" s="10" customFormat="1">
      <c r="A111" s="3" t="s">
        <v>212</v>
      </c>
      <c r="B111" s="3" t="s">
        <v>211</v>
      </c>
      <c r="C111" s="3" t="s">
        <v>80</v>
      </c>
      <c r="D111" s="3" t="s">
        <v>10</v>
      </c>
      <c r="E111" s="3" t="s">
        <v>21</v>
      </c>
      <c r="F111" s="3" t="s">
        <v>22</v>
      </c>
      <c r="G111" s="3" t="s">
        <v>23</v>
      </c>
      <c r="H111" s="3" t="s">
        <v>24</v>
      </c>
      <c r="I111" s="3" t="s">
        <v>25</v>
      </c>
    </row>
    <row r="112" s="10" customFormat="1">
      <c r="A112" s="3" t="s">
        <v>213</v>
      </c>
      <c r="B112" s="3" t="s">
        <v>214</v>
      </c>
      <c r="C112" s="3"/>
      <c r="D112" s="3"/>
      <c r="E112" s="3"/>
      <c r="F112" s="3"/>
      <c r="G112" s="3"/>
      <c r="H112" s="3"/>
      <c r="I112" s="3"/>
    </row>
    <row r="113" s="10" customFormat="1">
      <c r="A113" s="3" t="s">
        <v>215</v>
      </c>
      <c r="B113" s="3" t="s">
        <v>214</v>
      </c>
      <c r="C113" s="3" t="s">
        <v>80</v>
      </c>
      <c r="D113" s="3" t="s">
        <v>10</v>
      </c>
      <c r="E113" s="3" t="s">
        <v>21</v>
      </c>
      <c r="F113" s="3" t="s">
        <v>22</v>
      </c>
      <c r="G113" s="3" t="s">
        <v>23</v>
      </c>
      <c r="H113" s="3" t="s">
        <v>24</v>
      </c>
      <c r="I113" s="3" t="s">
        <v>25</v>
      </c>
    </row>
    <row r="114" s="10" customFormat="1">
      <c r="A114" s="3" t="s">
        <v>216</v>
      </c>
      <c r="B114" s="3" t="s">
        <v>217</v>
      </c>
      <c r="C114" s="3"/>
      <c r="D114" s="3"/>
      <c r="E114" s="3"/>
      <c r="F114" s="3"/>
      <c r="G114" s="3"/>
      <c r="H114" s="3"/>
      <c r="I114" s="3"/>
    </row>
    <row r="115" s="10" customFormat="1">
      <c r="A115" s="3" t="s">
        <v>218</v>
      </c>
      <c r="B115" s="3" t="s">
        <v>108</v>
      </c>
      <c r="C115" s="3"/>
      <c r="D115" s="3"/>
      <c r="E115" s="3"/>
      <c r="F115" s="3"/>
      <c r="G115" s="3"/>
      <c r="H115" s="3"/>
      <c r="I115" s="3"/>
    </row>
    <row r="116" s="10" customFormat="1">
      <c r="A116" s="3" t="s">
        <v>219</v>
      </c>
      <c r="B116" s="3" t="s">
        <v>220</v>
      </c>
      <c r="C116" s="3" t="s">
        <v>80</v>
      </c>
      <c r="D116" s="3" t="s">
        <v>10</v>
      </c>
      <c r="E116" s="3" t="s">
        <v>21</v>
      </c>
      <c r="F116" s="3" t="s">
        <v>22</v>
      </c>
      <c r="G116" s="3" t="s">
        <v>23</v>
      </c>
      <c r="H116" s="3" t="s">
        <v>24</v>
      </c>
      <c r="I116" s="3" t="s">
        <v>25</v>
      </c>
    </row>
    <row r="117" s="10" customFormat="1">
      <c r="A117" s="3" t="s">
        <v>221</v>
      </c>
      <c r="B117" s="3" t="s">
        <v>222</v>
      </c>
      <c r="C117" s="3" t="s">
        <v>80</v>
      </c>
      <c r="D117" s="3" t="s">
        <v>10</v>
      </c>
      <c r="E117" s="3" t="s">
        <v>21</v>
      </c>
      <c r="F117" s="3" t="s">
        <v>22</v>
      </c>
      <c r="G117" s="3" t="s">
        <v>23</v>
      </c>
      <c r="H117" s="3" t="s">
        <v>24</v>
      </c>
      <c r="I117" s="3" t="s">
        <v>25</v>
      </c>
    </row>
    <row r="118" s="10" customFormat="1">
      <c r="A118" s="3" t="s">
        <v>1431</v>
      </c>
      <c r="B118" s="3" t="s">
        <v>1432</v>
      </c>
      <c r="C118" s="3"/>
      <c r="D118" s="3"/>
      <c r="E118" s="3"/>
      <c r="F118" s="3"/>
      <c r="G118" s="3"/>
      <c r="H118" s="3"/>
      <c r="I118" s="3"/>
    </row>
    <row r="119" s="10" customFormat="1">
      <c r="A119" s="3" t="s">
        <v>223</v>
      </c>
      <c r="B119" s="3" t="s">
        <v>224</v>
      </c>
      <c r="C119" s="3"/>
      <c r="D119" s="3"/>
      <c r="E119" s="3"/>
      <c r="F119" s="3"/>
      <c r="G119" s="3"/>
      <c r="H119" s="3"/>
      <c r="I119" s="3"/>
    </row>
    <row r="120" s="10" customFormat="1">
      <c r="A120" s="3" t="s">
        <v>225</v>
      </c>
      <c r="B120" s="3" t="s">
        <v>226</v>
      </c>
      <c r="C120" s="3"/>
      <c r="D120" s="3"/>
      <c r="E120" s="3"/>
      <c r="F120" s="3"/>
      <c r="G120" s="3"/>
      <c r="H120" s="3"/>
      <c r="I120" s="3"/>
    </row>
    <row r="121" s="10" customFormat="1">
      <c r="A121" s="3" t="s">
        <v>227</v>
      </c>
      <c r="B121" s="3" t="s">
        <v>226</v>
      </c>
      <c r="C121" s="3" t="s">
        <v>80</v>
      </c>
      <c r="D121" s="3" t="s">
        <v>10</v>
      </c>
      <c r="E121" s="3" t="s">
        <v>21</v>
      </c>
      <c r="F121" s="3" t="s">
        <v>22</v>
      </c>
      <c r="G121" s="3" t="s">
        <v>23</v>
      </c>
      <c r="H121" s="3" t="s">
        <v>24</v>
      </c>
      <c r="I121" s="3" t="s">
        <v>25</v>
      </c>
    </row>
    <row r="122" s="10" customFormat="1">
      <c r="A122" s="3" t="s">
        <v>228</v>
      </c>
      <c r="B122" s="3" t="s">
        <v>229</v>
      </c>
      <c r="C122" s="3" t="s">
        <v>80</v>
      </c>
      <c r="D122" s="3" t="s">
        <v>10</v>
      </c>
      <c r="E122" s="3" t="s">
        <v>21</v>
      </c>
      <c r="F122" s="3" t="s">
        <v>22</v>
      </c>
      <c r="G122" s="3" t="s">
        <v>24</v>
      </c>
      <c r="H122" s="3" t="s">
        <v>24</v>
      </c>
      <c r="I122" s="3" t="s">
        <v>25</v>
      </c>
    </row>
    <row r="123" s="10" customFormat="1">
      <c r="A123" s="3" t="s">
        <v>230</v>
      </c>
      <c r="B123" s="3" t="s">
        <v>231</v>
      </c>
      <c r="C123" s="3"/>
      <c r="D123" s="3"/>
      <c r="E123" s="3"/>
      <c r="F123" s="3"/>
      <c r="G123" s="3"/>
      <c r="H123" s="3"/>
      <c r="I123" s="3"/>
    </row>
    <row r="124" s="10" customFormat="1">
      <c r="A124" s="3" t="s">
        <v>232</v>
      </c>
      <c r="B124" s="3" t="s">
        <v>233</v>
      </c>
      <c r="C124" s="3"/>
      <c r="D124" s="3"/>
      <c r="E124" s="3"/>
      <c r="F124" s="3"/>
      <c r="G124" s="3"/>
      <c r="H124" s="3"/>
      <c r="I124" s="3"/>
    </row>
    <row r="125" s="10" customFormat="1">
      <c r="A125" s="3" t="s">
        <v>234</v>
      </c>
      <c r="B125" s="3" t="s">
        <v>235</v>
      </c>
      <c r="C125" s="3"/>
      <c r="D125" s="3"/>
      <c r="E125" s="3"/>
      <c r="F125" s="3"/>
      <c r="G125" s="3"/>
      <c r="H125" s="3"/>
      <c r="I125" s="3"/>
    </row>
    <row r="126" s="10" customFormat="1">
      <c r="A126" s="3" t="s">
        <v>236</v>
      </c>
      <c r="B126" s="3" t="s">
        <v>235</v>
      </c>
      <c r="C126" s="3" t="s">
        <v>231</v>
      </c>
      <c r="D126" s="3" t="s">
        <v>10</v>
      </c>
      <c r="E126" s="3" t="s">
        <v>21</v>
      </c>
      <c r="F126" s="3" t="s">
        <v>22</v>
      </c>
      <c r="G126" s="3" t="s">
        <v>23</v>
      </c>
      <c r="H126" s="3" t="s">
        <v>24</v>
      </c>
      <c r="I126" s="3" t="s">
        <v>25</v>
      </c>
    </row>
    <row r="127" s="10" customFormat="1">
      <c r="A127" s="3" t="s">
        <v>237</v>
      </c>
      <c r="B127" s="3" t="s">
        <v>108</v>
      </c>
      <c r="C127" s="3"/>
      <c r="D127" s="3"/>
      <c r="E127" s="3"/>
      <c r="F127" s="3"/>
      <c r="G127" s="3"/>
      <c r="H127" s="3"/>
      <c r="I127" s="3"/>
    </row>
    <row r="128" s="10" customFormat="1">
      <c r="A128" s="3" t="s">
        <v>238</v>
      </c>
      <c r="B128" s="3" t="s">
        <v>108</v>
      </c>
      <c r="C128" s="3"/>
      <c r="D128" s="3"/>
      <c r="E128" s="3"/>
      <c r="F128" s="3"/>
      <c r="G128" s="3"/>
      <c r="H128" s="3"/>
      <c r="I128" s="3"/>
    </row>
    <row r="129" s="10" customFormat="1">
      <c r="A129" s="3" t="s">
        <v>239</v>
      </c>
      <c r="B129" s="3" t="s">
        <v>108</v>
      </c>
      <c r="C129" s="3" t="s">
        <v>231</v>
      </c>
      <c r="D129" s="3" t="s">
        <v>10</v>
      </c>
      <c r="E129" s="3" t="s">
        <v>21</v>
      </c>
      <c r="F129" s="3" t="s">
        <v>22</v>
      </c>
      <c r="G129" s="3" t="s">
        <v>23</v>
      </c>
      <c r="H129" s="3" t="s">
        <v>24</v>
      </c>
      <c r="I129" s="3" t="s">
        <v>25</v>
      </c>
    </row>
    <row r="130" s="10" customFormat="1">
      <c r="A130" s="3" t="s">
        <v>240</v>
      </c>
      <c r="B130" s="3" t="s">
        <v>241</v>
      </c>
      <c r="C130" s="3"/>
      <c r="D130" s="3"/>
      <c r="E130" s="3"/>
      <c r="F130" s="3"/>
      <c r="G130" s="3"/>
      <c r="H130" s="3"/>
      <c r="I130" s="3"/>
    </row>
    <row r="131" s="10" customFormat="1">
      <c r="A131" s="3" t="s">
        <v>242</v>
      </c>
      <c r="B131" s="3" t="s">
        <v>243</v>
      </c>
      <c r="C131" s="3"/>
      <c r="D131" s="3"/>
      <c r="E131" s="3"/>
      <c r="F131" s="3"/>
      <c r="G131" s="3"/>
      <c r="H131" s="3"/>
      <c r="I131" s="3"/>
    </row>
    <row r="132" s="10" customFormat="1">
      <c r="A132" s="3" t="s">
        <v>244</v>
      </c>
      <c r="B132" s="3" t="s">
        <v>245</v>
      </c>
      <c r="C132" s="3"/>
      <c r="D132" s="3"/>
      <c r="E132" s="3"/>
      <c r="F132" s="3"/>
      <c r="G132" s="3"/>
      <c r="H132" s="3"/>
      <c r="I132" s="3"/>
    </row>
    <row r="133" s="10" customFormat="1">
      <c r="A133" s="3" t="s">
        <v>246</v>
      </c>
      <c r="B133" s="3" t="s">
        <v>245</v>
      </c>
      <c r="C133" s="3" t="s">
        <v>247</v>
      </c>
      <c r="D133" s="3" t="s">
        <v>10</v>
      </c>
      <c r="E133" s="3" t="s">
        <v>21</v>
      </c>
      <c r="F133" s="3" t="s">
        <v>22</v>
      </c>
      <c r="G133" s="3" t="s">
        <v>23</v>
      </c>
      <c r="H133" s="3" t="s">
        <v>24</v>
      </c>
      <c r="I133" s="3" t="s">
        <v>25</v>
      </c>
    </row>
    <row r="134" s="10" customFormat="1">
      <c r="A134" s="3" t="s">
        <v>248</v>
      </c>
      <c r="B134" s="3" t="s">
        <v>249</v>
      </c>
      <c r="C134" s="3" t="s">
        <v>247</v>
      </c>
      <c r="D134" s="3" t="s">
        <v>10</v>
      </c>
      <c r="E134" s="3" t="s">
        <v>21</v>
      </c>
      <c r="F134" s="3" t="s">
        <v>22</v>
      </c>
      <c r="G134" s="3" t="s">
        <v>24</v>
      </c>
      <c r="H134" s="3" t="s">
        <v>24</v>
      </c>
      <c r="I134" s="3" t="s">
        <v>25</v>
      </c>
    </row>
    <row r="135" s="10" customFormat="1">
      <c r="A135" s="3" t="s">
        <v>250</v>
      </c>
      <c r="B135" s="3" t="s">
        <v>251</v>
      </c>
      <c r="C135" s="3"/>
      <c r="D135" s="3"/>
      <c r="E135" s="3"/>
      <c r="F135" s="3"/>
      <c r="G135" s="3"/>
      <c r="H135" s="3"/>
      <c r="I135" s="3"/>
    </row>
    <row r="136" s="10" customFormat="1">
      <c r="A136" s="3" t="s">
        <v>252</v>
      </c>
      <c r="B136" s="3" t="s">
        <v>253</v>
      </c>
      <c r="C136" s="3"/>
      <c r="D136" s="3"/>
      <c r="E136" s="3"/>
      <c r="F136" s="3"/>
      <c r="G136" s="3"/>
      <c r="H136" s="3"/>
      <c r="I136" s="3"/>
    </row>
    <row r="137" s="10" customFormat="1">
      <c r="A137" s="3" t="s">
        <v>254</v>
      </c>
      <c r="B137" s="3" t="s">
        <v>253</v>
      </c>
      <c r="C137" s="3" t="s">
        <v>247</v>
      </c>
      <c r="D137" s="3" t="s">
        <v>10</v>
      </c>
      <c r="E137" s="3" t="s">
        <v>21</v>
      </c>
      <c r="F137" s="3" t="s">
        <v>22</v>
      </c>
      <c r="G137" s="3" t="s">
        <v>23</v>
      </c>
      <c r="H137" s="3" t="s">
        <v>24</v>
      </c>
      <c r="I137" s="3" t="s">
        <v>25</v>
      </c>
    </row>
    <row r="138" s="10" customFormat="1">
      <c r="A138" s="3" t="s">
        <v>255</v>
      </c>
      <c r="B138" s="3" t="s">
        <v>256</v>
      </c>
      <c r="C138" s="3" t="s">
        <v>247</v>
      </c>
      <c r="D138" s="3" t="s">
        <v>10</v>
      </c>
      <c r="E138" s="3" t="s">
        <v>21</v>
      </c>
      <c r="F138" s="3" t="s">
        <v>22</v>
      </c>
      <c r="G138" s="3" t="s">
        <v>24</v>
      </c>
      <c r="H138" s="3" t="s">
        <v>24</v>
      </c>
      <c r="I138" s="3" t="s">
        <v>25</v>
      </c>
    </row>
    <row r="139" s="10" customFormat="1">
      <c r="A139" s="3" t="s">
        <v>257</v>
      </c>
      <c r="B139" s="3" t="s">
        <v>253</v>
      </c>
      <c r="C139" s="3"/>
      <c r="D139" s="3"/>
      <c r="E139" s="3"/>
      <c r="F139" s="3"/>
      <c r="G139" s="3"/>
      <c r="H139" s="3"/>
      <c r="I139" s="3"/>
    </row>
    <row r="140" s="10" customFormat="1">
      <c r="A140" s="3" t="s">
        <v>258</v>
      </c>
      <c r="B140" s="3" t="s">
        <v>259</v>
      </c>
      <c r="C140" s="3" t="s">
        <v>247</v>
      </c>
      <c r="D140" s="3" t="s">
        <v>10</v>
      </c>
      <c r="E140" s="3" t="s">
        <v>21</v>
      </c>
      <c r="F140" s="3" t="s">
        <v>22</v>
      </c>
      <c r="G140" s="3" t="s">
        <v>23</v>
      </c>
      <c r="H140" s="3" t="s">
        <v>24</v>
      </c>
      <c r="I140" s="3" t="s">
        <v>25</v>
      </c>
    </row>
    <row r="141" s="10" customFormat="1">
      <c r="A141" s="3" t="s">
        <v>260</v>
      </c>
      <c r="B141" s="3" t="s">
        <v>261</v>
      </c>
      <c r="C141" s="3" t="s">
        <v>247</v>
      </c>
      <c r="D141" s="3" t="s">
        <v>10</v>
      </c>
      <c r="E141" s="3" t="s">
        <v>21</v>
      </c>
      <c r="F141" s="3" t="s">
        <v>22</v>
      </c>
      <c r="G141" s="3" t="s">
        <v>24</v>
      </c>
      <c r="H141" s="3" t="s">
        <v>24</v>
      </c>
      <c r="I141" s="3" t="s">
        <v>25</v>
      </c>
    </row>
    <row r="142" s="10" customFormat="1">
      <c r="A142" s="3" t="s">
        <v>262</v>
      </c>
      <c r="B142" s="3" t="s">
        <v>263</v>
      </c>
      <c r="C142" s="3"/>
      <c r="D142" s="3"/>
      <c r="E142" s="3"/>
      <c r="F142" s="3"/>
      <c r="G142" s="3"/>
      <c r="H142" s="3"/>
      <c r="I142" s="3"/>
    </row>
    <row r="143" s="10" customFormat="1">
      <c r="A143" s="3" t="s">
        <v>264</v>
      </c>
      <c r="B143" s="3" t="s">
        <v>265</v>
      </c>
      <c r="C143" s="3"/>
      <c r="D143" s="3"/>
      <c r="E143" s="3"/>
      <c r="F143" s="3"/>
      <c r="G143" s="3"/>
      <c r="H143" s="3"/>
      <c r="I143" s="3"/>
    </row>
    <row r="144" s="10" customFormat="1">
      <c r="A144" s="3" t="s">
        <v>266</v>
      </c>
      <c r="B144" s="3" t="s">
        <v>265</v>
      </c>
      <c r="C144" s="3" t="s">
        <v>247</v>
      </c>
      <c r="D144" s="3" t="s">
        <v>10</v>
      </c>
      <c r="E144" s="3" t="s">
        <v>267</v>
      </c>
      <c r="F144" s="3" t="s">
        <v>22</v>
      </c>
      <c r="G144" s="3" t="s">
        <v>23</v>
      </c>
      <c r="H144" s="3" t="s">
        <v>24</v>
      </c>
      <c r="I144" s="3" t="s">
        <v>25</v>
      </c>
    </row>
    <row r="145" s="10" customFormat="1">
      <c r="A145" s="3" t="s">
        <v>268</v>
      </c>
      <c r="B145" s="3" t="s">
        <v>269</v>
      </c>
      <c r="C145" s="3" t="s">
        <v>247</v>
      </c>
      <c r="D145" s="3" t="s">
        <v>10</v>
      </c>
      <c r="E145" s="3" t="s">
        <v>21</v>
      </c>
      <c r="F145" s="3" t="s">
        <v>22</v>
      </c>
      <c r="G145" s="3" t="s">
        <v>24</v>
      </c>
      <c r="H145" s="3" t="s">
        <v>24</v>
      </c>
      <c r="I145" s="3" t="s">
        <v>25</v>
      </c>
    </row>
    <row r="146" s="10" customFormat="1">
      <c r="A146" s="3" t="s">
        <v>270</v>
      </c>
      <c r="B146" s="3" t="s">
        <v>271</v>
      </c>
      <c r="C146" s="3"/>
      <c r="D146" s="3"/>
      <c r="E146" s="3"/>
      <c r="F146" s="3"/>
      <c r="G146" s="3"/>
      <c r="H146" s="3"/>
      <c r="I146" s="3"/>
    </row>
    <row r="147" s="10" customFormat="1">
      <c r="A147" s="3" t="s">
        <v>272</v>
      </c>
      <c r="B147" s="3" t="s">
        <v>271</v>
      </c>
      <c r="C147" s="3" t="s">
        <v>247</v>
      </c>
      <c r="D147" s="3" t="s">
        <v>10</v>
      </c>
      <c r="E147" s="3" t="s">
        <v>21</v>
      </c>
      <c r="F147" s="3" t="s">
        <v>22</v>
      </c>
      <c r="G147" s="3" t="s">
        <v>23</v>
      </c>
      <c r="H147" s="3" t="s">
        <v>24</v>
      </c>
      <c r="I147" s="3" t="s">
        <v>25</v>
      </c>
    </row>
    <row r="148" s="10" customFormat="1">
      <c r="A148" s="3" t="s">
        <v>273</v>
      </c>
      <c r="B148" s="3" t="s">
        <v>274</v>
      </c>
      <c r="C148" s="3" t="s">
        <v>247</v>
      </c>
      <c r="D148" s="3" t="s">
        <v>10</v>
      </c>
      <c r="E148" s="3" t="s">
        <v>21</v>
      </c>
      <c r="F148" s="3" t="s">
        <v>22</v>
      </c>
      <c r="G148" s="3" t="s">
        <v>24</v>
      </c>
      <c r="H148" s="3" t="s">
        <v>24</v>
      </c>
      <c r="I148" s="3" t="s">
        <v>25</v>
      </c>
    </row>
    <row r="149" s="10" customFormat="1">
      <c r="A149" s="3" t="s">
        <v>275</v>
      </c>
      <c r="B149" s="3" t="s">
        <v>276</v>
      </c>
      <c r="C149" s="3"/>
      <c r="D149" s="3"/>
      <c r="E149" s="3"/>
      <c r="F149" s="3"/>
      <c r="G149" s="3"/>
      <c r="H149" s="3"/>
      <c r="I149" s="3"/>
    </row>
    <row r="150" s="10" customFormat="1">
      <c r="A150" s="3" t="s">
        <v>277</v>
      </c>
      <c r="B150" s="3" t="s">
        <v>278</v>
      </c>
      <c r="C150" s="3"/>
      <c r="D150" s="3"/>
      <c r="E150" s="3"/>
      <c r="F150" s="3"/>
      <c r="G150" s="3"/>
      <c r="H150" s="3"/>
      <c r="I150" s="3"/>
    </row>
    <row r="151" s="10" customFormat="1">
      <c r="A151" s="3" t="s">
        <v>279</v>
      </c>
      <c r="B151" s="3" t="s">
        <v>278</v>
      </c>
      <c r="C151" s="3" t="s">
        <v>247</v>
      </c>
      <c r="D151" s="3" t="s">
        <v>10</v>
      </c>
      <c r="E151" s="3" t="s">
        <v>267</v>
      </c>
      <c r="F151" s="3" t="s">
        <v>22</v>
      </c>
      <c r="G151" s="3" t="s">
        <v>23</v>
      </c>
      <c r="H151" s="3" t="s">
        <v>24</v>
      </c>
      <c r="I151" s="3" t="s">
        <v>25</v>
      </c>
    </row>
    <row r="152" s="10" customFormat="1">
      <c r="A152" s="3" t="s">
        <v>1433</v>
      </c>
      <c r="B152" s="3" t="s">
        <v>1434</v>
      </c>
      <c r="C152" s="3" t="s">
        <v>247</v>
      </c>
      <c r="D152" s="3" t="s">
        <v>10</v>
      </c>
      <c r="E152" s="3" t="s">
        <v>21</v>
      </c>
      <c r="F152" s="3" t="s">
        <v>22</v>
      </c>
      <c r="G152" s="3" t="s">
        <v>23</v>
      </c>
      <c r="H152" s="3" t="s">
        <v>24</v>
      </c>
      <c r="I152" s="3" t="s">
        <v>25</v>
      </c>
    </row>
    <row r="153" s="10" customFormat="1">
      <c r="A153" s="3" t="s">
        <v>280</v>
      </c>
      <c r="B153" s="3" t="s">
        <v>281</v>
      </c>
      <c r="C153" s="3" t="s">
        <v>247</v>
      </c>
      <c r="D153" s="3" t="s">
        <v>10</v>
      </c>
      <c r="E153" s="3" t="s">
        <v>21</v>
      </c>
      <c r="F153" s="3" t="s">
        <v>22</v>
      </c>
      <c r="G153" s="3" t="s">
        <v>24</v>
      </c>
      <c r="H153" s="3" t="s">
        <v>24</v>
      </c>
      <c r="I153" s="3" t="s">
        <v>25</v>
      </c>
    </row>
    <row r="154" s="10" customFormat="1">
      <c r="A154" s="3" t="s">
        <v>282</v>
      </c>
      <c r="B154" s="3" t="s">
        <v>283</v>
      </c>
      <c r="C154" s="3"/>
      <c r="D154" s="3"/>
      <c r="E154" s="3"/>
      <c r="F154" s="3"/>
      <c r="G154" s="3"/>
      <c r="H154" s="3"/>
      <c r="I154" s="3"/>
    </row>
    <row r="155" s="10" customFormat="1">
      <c r="A155" s="3" t="s">
        <v>284</v>
      </c>
      <c r="B155" s="3" t="s">
        <v>285</v>
      </c>
      <c r="C155" s="3"/>
      <c r="D155" s="3"/>
      <c r="E155" s="3"/>
      <c r="F155" s="3"/>
      <c r="G155" s="3"/>
      <c r="H155" s="3"/>
      <c r="I155" s="3"/>
    </row>
    <row r="156" s="10" customFormat="1">
      <c r="A156" s="3" t="s">
        <v>286</v>
      </c>
      <c r="B156" s="3" t="s">
        <v>285</v>
      </c>
      <c r="C156" s="3" t="s">
        <v>247</v>
      </c>
      <c r="D156" s="3" t="s">
        <v>10</v>
      </c>
      <c r="E156" s="3" t="s">
        <v>267</v>
      </c>
      <c r="F156" s="3" t="s">
        <v>22</v>
      </c>
      <c r="G156" s="3" t="s">
        <v>23</v>
      </c>
      <c r="H156" s="3" t="s">
        <v>24</v>
      </c>
      <c r="I156" s="3" t="s">
        <v>25</v>
      </c>
    </row>
    <row r="157" s="10" customFormat="1">
      <c r="A157" s="3" t="s">
        <v>287</v>
      </c>
      <c r="B157" s="3" t="s">
        <v>288</v>
      </c>
      <c r="C157" s="3" t="s">
        <v>247</v>
      </c>
      <c r="D157" s="3" t="s">
        <v>10</v>
      </c>
      <c r="E157" s="3" t="s">
        <v>21</v>
      </c>
      <c r="F157" s="3" t="s">
        <v>22</v>
      </c>
      <c r="G157" s="3" t="s">
        <v>24</v>
      </c>
      <c r="H157" s="3" t="s">
        <v>24</v>
      </c>
      <c r="I157" s="3" t="s">
        <v>25</v>
      </c>
    </row>
    <row r="158" s="10" customFormat="1">
      <c r="A158" s="3" t="s">
        <v>289</v>
      </c>
      <c r="B158" s="3" t="s">
        <v>290</v>
      </c>
      <c r="C158" s="3"/>
      <c r="D158" s="3"/>
      <c r="E158" s="3"/>
      <c r="F158" s="3"/>
      <c r="G158" s="3"/>
      <c r="H158" s="3"/>
      <c r="I158" s="3"/>
    </row>
    <row r="159" s="10" customFormat="1">
      <c r="A159" s="3" t="s">
        <v>291</v>
      </c>
      <c r="B159" s="3" t="s">
        <v>251</v>
      </c>
      <c r="C159" s="3"/>
      <c r="D159" s="3"/>
      <c r="E159" s="3"/>
      <c r="F159" s="3"/>
      <c r="G159" s="3"/>
      <c r="H159" s="3"/>
      <c r="I159" s="3"/>
    </row>
    <row r="160" s="10" customFormat="1">
      <c r="A160" s="3" t="s">
        <v>292</v>
      </c>
      <c r="B160" s="3" t="s">
        <v>251</v>
      </c>
      <c r="C160" s="3" t="s">
        <v>247</v>
      </c>
      <c r="D160" s="3" t="s">
        <v>10</v>
      </c>
      <c r="E160" s="3" t="s">
        <v>21</v>
      </c>
      <c r="F160" s="3" t="s">
        <v>22</v>
      </c>
      <c r="G160" s="3" t="s">
        <v>23</v>
      </c>
      <c r="H160" s="3" t="s">
        <v>24</v>
      </c>
      <c r="I160" s="3" t="s">
        <v>25</v>
      </c>
    </row>
    <row r="161" s="10" customFormat="1">
      <c r="A161" s="3" t="s">
        <v>293</v>
      </c>
      <c r="B161" s="3" t="s">
        <v>294</v>
      </c>
      <c r="C161" s="3" t="s">
        <v>247</v>
      </c>
      <c r="D161" s="3" t="s">
        <v>10</v>
      </c>
      <c r="E161" s="3" t="s">
        <v>21</v>
      </c>
      <c r="F161" s="3" t="s">
        <v>22</v>
      </c>
      <c r="G161" s="3" t="s">
        <v>24</v>
      </c>
      <c r="H161" s="3" t="s">
        <v>24</v>
      </c>
      <c r="I161" s="3" t="s">
        <v>25</v>
      </c>
    </row>
    <row r="162" s="10" customFormat="1">
      <c r="A162" s="3" t="s">
        <v>295</v>
      </c>
      <c r="B162" s="3" t="s">
        <v>263</v>
      </c>
      <c r="C162" s="3"/>
      <c r="D162" s="3"/>
      <c r="E162" s="3"/>
      <c r="F162" s="3"/>
      <c r="G162" s="3"/>
      <c r="H162" s="3"/>
      <c r="I162" s="3"/>
    </row>
    <row r="163" s="10" customFormat="1">
      <c r="A163" s="3" t="s">
        <v>296</v>
      </c>
      <c r="B163" s="3" t="s">
        <v>263</v>
      </c>
      <c r="C163" s="3" t="s">
        <v>247</v>
      </c>
      <c r="D163" s="3" t="s">
        <v>10</v>
      </c>
      <c r="E163" s="3" t="s">
        <v>297</v>
      </c>
      <c r="F163" s="3" t="s">
        <v>22</v>
      </c>
      <c r="G163" s="3" t="s">
        <v>23</v>
      </c>
      <c r="H163" s="3" t="s">
        <v>24</v>
      </c>
      <c r="I163" s="3" t="s">
        <v>25</v>
      </c>
    </row>
    <row r="164" s="10" customFormat="1">
      <c r="A164" s="3" t="s">
        <v>298</v>
      </c>
      <c r="B164" s="3" t="s">
        <v>299</v>
      </c>
      <c r="C164" s="3" t="s">
        <v>247</v>
      </c>
      <c r="D164" s="3" t="s">
        <v>10</v>
      </c>
      <c r="E164" s="3" t="s">
        <v>300</v>
      </c>
      <c r="F164" s="3" t="s">
        <v>22</v>
      </c>
      <c r="G164" s="3" t="s">
        <v>24</v>
      </c>
      <c r="H164" s="3" t="s">
        <v>24</v>
      </c>
      <c r="I164" s="3" t="s">
        <v>25</v>
      </c>
    </row>
    <row r="165" s="10" customFormat="1">
      <c r="A165" s="3" t="s">
        <v>301</v>
      </c>
      <c r="B165" s="3" t="s">
        <v>276</v>
      </c>
      <c r="C165" s="3"/>
      <c r="D165" s="3"/>
      <c r="E165" s="3"/>
      <c r="F165" s="3"/>
      <c r="G165" s="3"/>
      <c r="H165" s="3"/>
      <c r="I165" s="3"/>
    </row>
    <row r="166" s="10" customFormat="1">
      <c r="A166" s="3" t="s">
        <v>302</v>
      </c>
      <c r="B166" s="3" t="s">
        <v>276</v>
      </c>
      <c r="C166" s="3" t="s">
        <v>247</v>
      </c>
      <c r="D166" s="3" t="s">
        <v>10</v>
      </c>
      <c r="E166" s="3" t="s">
        <v>297</v>
      </c>
      <c r="F166" s="3" t="s">
        <v>22</v>
      </c>
      <c r="G166" s="3" t="s">
        <v>23</v>
      </c>
      <c r="H166" s="3" t="s">
        <v>24</v>
      </c>
      <c r="I166" s="3" t="s">
        <v>25</v>
      </c>
    </row>
    <row r="167" s="10" customFormat="1">
      <c r="A167" s="3" t="s">
        <v>303</v>
      </c>
      <c r="B167" s="3" t="s">
        <v>304</v>
      </c>
      <c r="C167" s="3" t="s">
        <v>247</v>
      </c>
      <c r="D167" s="3" t="s">
        <v>10</v>
      </c>
      <c r="E167" s="3" t="s">
        <v>300</v>
      </c>
      <c r="F167" s="3" t="s">
        <v>22</v>
      </c>
      <c r="G167" s="3" t="s">
        <v>24</v>
      </c>
      <c r="H167" s="3" t="s">
        <v>24</v>
      </c>
      <c r="I167" s="3" t="s">
        <v>25</v>
      </c>
    </row>
    <row r="168" s="10" customFormat="1">
      <c r="A168" s="3" t="s">
        <v>305</v>
      </c>
      <c r="B168" s="3" t="s">
        <v>283</v>
      </c>
      <c r="C168" s="3"/>
      <c r="D168" s="3"/>
      <c r="E168" s="3"/>
      <c r="F168" s="3"/>
      <c r="G168" s="3"/>
      <c r="H168" s="3"/>
      <c r="I168" s="3"/>
    </row>
    <row r="169" s="10" customFormat="1">
      <c r="A169" s="3" t="s">
        <v>306</v>
      </c>
      <c r="B169" s="3" t="s">
        <v>283</v>
      </c>
      <c r="C169" s="3" t="s">
        <v>247</v>
      </c>
      <c r="D169" s="3" t="s">
        <v>10</v>
      </c>
      <c r="E169" s="3" t="s">
        <v>297</v>
      </c>
      <c r="F169" s="3" t="s">
        <v>22</v>
      </c>
      <c r="G169" s="3" t="s">
        <v>23</v>
      </c>
      <c r="H169" s="3" t="s">
        <v>24</v>
      </c>
      <c r="I169" s="3" t="s">
        <v>25</v>
      </c>
    </row>
    <row r="170" s="10" customFormat="1">
      <c r="A170" s="3" t="s">
        <v>307</v>
      </c>
      <c r="B170" s="3" t="s">
        <v>308</v>
      </c>
      <c r="C170" s="3" t="s">
        <v>247</v>
      </c>
      <c r="D170" s="3" t="s">
        <v>10</v>
      </c>
      <c r="E170" s="3" t="s">
        <v>300</v>
      </c>
      <c r="F170" s="3" t="s">
        <v>22</v>
      </c>
      <c r="G170" s="3" t="s">
        <v>24</v>
      </c>
      <c r="H170" s="3" t="s">
        <v>24</v>
      </c>
      <c r="I170" s="3" t="s">
        <v>25</v>
      </c>
    </row>
    <row r="171" s="10" customFormat="1">
      <c r="A171" s="3" t="s">
        <v>309</v>
      </c>
      <c r="B171" s="3" t="s">
        <v>310</v>
      </c>
      <c r="C171" s="3"/>
      <c r="D171" s="3"/>
      <c r="E171" s="3"/>
      <c r="F171" s="3"/>
      <c r="G171" s="3"/>
      <c r="H171" s="3"/>
      <c r="I171" s="3"/>
    </row>
    <row r="172" s="10" customFormat="1">
      <c r="A172" s="3" t="s">
        <v>311</v>
      </c>
      <c r="B172" s="3" t="s">
        <v>312</v>
      </c>
      <c r="C172" s="3"/>
      <c r="D172" s="3"/>
      <c r="E172" s="3"/>
      <c r="F172" s="3"/>
      <c r="G172" s="3"/>
      <c r="H172" s="3"/>
      <c r="I172" s="3"/>
    </row>
    <row r="173" s="10" customFormat="1">
      <c r="A173" s="3" t="s">
        <v>313</v>
      </c>
      <c r="B173" s="3" t="s">
        <v>314</v>
      </c>
      <c r="C173" s="3"/>
      <c r="D173" s="3"/>
      <c r="E173" s="3"/>
      <c r="F173" s="3"/>
      <c r="G173" s="3"/>
      <c r="H173" s="3"/>
      <c r="I173" s="3"/>
    </row>
    <row r="174" s="10" customFormat="1">
      <c r="A174" s="3" t="s">
        <v>315</v>
      </c>
      <c r="B174" s="3" t="s">
        <v>314</v>
      </c>
      <c r="C174" s="3" t="s">
        <v>62</v>
      </c>
      <c r="D174" s="3" t="s">
        <v>10</v>
      </c>
      <c r="E174" s="3" t="s">
        <v>21</v>
      </c>
      <c r="F174" s="3" t="s">
        <v>22</v>
      </c>
      <c r="G174" s="3" t="s">
        <v>23</v>
      </c>
      <c r="H174" s="3" t="s">
        <v>24</v>
      </c>
      <c r="I174" s="3" t="s">
        <v>25</v>
      </c>
    </row>
    <row r="175" s="10" customFormat="1">
      <c r="A175" s="3" t="s">
        <v>316</v>
      </c>
      <c r="B175" s="3" t="s">
        <v>317</v>
      </c>
      <c r="C175" s="3" t="s">
        <v>62</v>
      </c>
      <c r="D175" s="3" t="s">
        <v>10</v>
      </c>
      <c r="E175" s="3" t="s">
        <v>21</v>
      </c>
      <c r="F175" s="3" t="s">
        <v>22</v>
      </c>
      <c r="G175" s="3" t="s">
        <v>24</v>
      </c>
      <c r="H175" s="3" t="s">
        <v>24</v>
      </c>
      <c r="I175" s="3" t="s">
        <v>25</v>
      </c>
    </row>
    <row r="176" s="10" customFormat="1">
      <c r="A176" s="3" t="s">
        <v>318</v>
      </c>
      <c r="B176" s="3" t="s">
        <v>319</v>
      </c>
      <c r="C176" s="3"/>
      <c r="D176" s="3"/>
      <c r="E176" s="3"/>
      <c r="F176" s="3"/>
      <c r="G176" s="3"/>
      <c r="H176" s="3"/>
      <c r="I176" s="3"/>
    </row>
    <row r="177" s="10" customFormat="1">
      <c r="A177" s="3" t="s">
        <v>320</v>
      </c>
      <c r="B177" s="3" t="s">
        <v>319</v>
      </c>
      <c r="C177" s="3" t="s">
        <v>62</v>
      </c>
      <c r="D177" s="3" t="s">
        <v>10</v>
      </c>
      <c r="E177" s="3" t="s">
        <v>267</v>
      </c>
      <c r="F177" s="3" t="s">
        <v>22</v>
      </c>
      <c r="G177" s="3" t="s">
        <v>24</v>
      </c>
      <c r="H177" s="3" t="s">
        <v>24</v>
      </c>
      <c r="I177" s="3" t="s">
        <v>25</v>
      </c>
    </row>
    <row r="178" s="10" customFormat="1">
      <c r="A178" s="3" t="s">
        <v>321</v>
      </c>
      <c r="B178" s="3" t="s">
        <v>322</v>
      </c>
      <c r="C178" s="3" t="s">
        <v>62</v>
      </c>
      <c r="D178" s="3" t="s">
        <v>10</v>
      </c>
      <c r="E178" s="3" t="s">
        <v>21</v>
      </c>
      <c r="F178" s="3" t="s">
        <v>22</v>
      </c>
      <c r="G178" s="3" t="s">
        <v>24</v>
      </c>
      <c r="H178" s="3" t="s">
        <v>24</v>
      </c>
      <c r="I178" s="3" t="s">
        <v>25</v>
      </c>
    </row>
    <row r="179" s="10" customFormat="1">
      <c r="A179" s="3" t="s">
        <v>1435</v>
      </c>
      <c r="B179" s="3" t="s">
        <v>1425</v>
      </c>
      <c r="C179" s="3"/>
      <c r="D179" s="3"/>
      <c r="E179" s="3"/>
      <c r="F179" s="3"/>
      <c r="G179" s="3"/>
      <c r="H179" s="3"/>
      <c r="I179" s="3"/>
    </row>
    <row r="180" s="10" customFormat="1">
      <c r="A180" s="3" t="s">
        <v>1436</v>
      </c>
      <c r="B180" s="3" t="s">
        <v>1425</v>
      </c>
      <c r="C180" s="3"/>
      <c r="D180" s="3"/>
      <c r="E180" s="3"/>
      <c r="F180" s="3"/>
      <c r="G180" s="3"/>
      <c r="H180" s="3"/>
      <c r="I180" s="3"/>
    </row>
    <row r="181" s="10" customFormat="1">
      <c r="A181" s="3" t="s">
        <v>1424</v>
      </c>
      <c r="B181" s="3" t="s">
        <v>1425</v>
      </c>
      <c r="C181" s="3" t="s">
        <v>247</v>
      </c>
      <c r="D181" s="3" t="s">
        <v>10</v>
      </c>
      <c r="E181" s="3" t="s">
        <v>297</v>
      </c>
      <c r="F181" s="3" t="s">
        <v>22</v>
      </c>
      <c r="G181" s="3" t="s">
        <v>23</v>
      </c>
      <c r="H181" s="3" t="s">
        <v>24</v>
      </c>
      <c r="I181" s="3" t="s">
        <v>25</v>
      </c>
    </row>
    <row r="182" s="10" customFormat="1">
      <c r="A182" s="3" t="s">
        <v>1437</v>
      </c>
      <c r="B182" s="3" t="s">
        <v>1438</v>
      </c>
      <c r="C182" s="3"/>
      <c r="D182" s="3"/>
      <c r="E182" s="3"/>
      <c r="F182" s="3"/>
      <c r="G182" s="3"/>
      <c r="H182" s="3"/>
      <c r="I182" s="3"/>
    </row>
    <row r="183" s="10" customFormat="1">
      <c r="A183" s="3" t="s">
        <v>1439</v>
      </c>
      <c r="B183" s="3" t="s">
        <v>1440</v>
      </c>
      <c r="C183" s="3" t="s">
        <v>247</v>
      </c>
      <c r="D183" s="3" t="s">
        <v>10</v>
      </c>
      <c r="E183" s="3" t="s">
        <v>300</v>
      </c>
      <c r="F183" s="3" t="s">
        <v>22</v>
      </c>
      <c r="G183" s="3" t="s">
        <v>24</v>
      </c>
      <c r="H183" s="3" t="s">
        <v>24</v>
      </c>
      <c r="I183" s="3" t="s">
        <v>25</v>
      </c>
    </row>
    <row r="184" s="10" customFormat="1">
      <c r="A184" s="3" t="s">
        <v>323</v>
      </c>
      <c r="B184" s="3" t="s">
        <v>324</v>
      </c>
      <c r="C184" s="3"/>
      <c r="D184" s="3"/>
      <c r="E184" s="3"/>
      <c r="F184" s="3"/>
      <c r="G184" s="3"/>
      <c r="H184" s="3"/>
      <c r="I184" s="3"/>
    </row>
    <row r="185" s="10" customFormat="1">
      <c r="A185" s="3" t="s">
        <v>325</v>
      </c>
      <c r="B185" s="3" t="s">
        <v>326</v>
      </c>
      <c r="C185" s="3"/>
      <c r="D185" s="3"/>
      <c r="E185" s="3"/>
      <c r="F185" s="3"/>
      <c r="G185" s="3"/>
      <c r="H185" s="3"/>
      <c r="I185" s="3"/>
    </row>
    <row r="186" s="10" customFormat="1">
      <c r="A186" s="3" t="s">
        <v>327</v>
      </c>
      <c r="B186" s="3" t="s">
        <v>328</v>
      </c>
      <c r="C186" s="3"/>
      <c r="D186" s="3"/>
      <c r="E186" s="3"/>
      <c r="F186" s="3"/>
      <c r="G186" s="3"/>
      <c r="H186" s="3"/>
      <c r="I186" s="3"/>
    </row>
    <row r="187" s="10" customFormat="1">
      <c r="A187" s="3" t="s">
        <v>329</v>
      </c>
      <c r="B187" s="3" t="s">
        <v>328</v>
      </c>
      <c r="C187" s="3" t="s">
        <v>62</v>
      </c>
      <c r="D187" s="3" t="s">
        <v>10</v>
      </c>
      <c r="E187" s="3" t="s">
        <v>21</v>
      </c>
      <c r="F187" s="3" t="s">
        <v>22</v>
      </c>
      <c r="G187" s="3" t="s">
        <v>23</v>
      </c>
      <c r="H187" s="3" t="s">
        <v>24</v>
      </c>
      <c r="I187" s="3" t="s">
        <v>25</v>
      </c>
    </row>
    <row r="188" s="10" customFormat="1">
      <c r="A188" s="3" t="s">
        <v>330</v>
      </c>
      <c r="B188" s="3" t="s">
        <v>331</v>
      </c>
      <c r="C188" s="3"/>
      <c r="D188" s="3"/>
      <c r="E188" s="3"/>
      <c r="F188" s="3"/>
      <c r="G188" s="3"/>
      <c r="H188" s="3"/>
      <c r="I188" s="3"/>
    </row>
    <row r="189" s="10" customFormat="1">
      <c r="A189" s="3" t="s">
        <v>332</v>
      </c>
      <c r="B189" s="3" t="s">
        <v>333</v>
      </c>
      <c r="C189" s="3"/>
      <c r="D189" s="3"/>
      <c r="E189" s="3"/>
      <c r="F189" s="3"/>
      <c r="G189" s="3"/>
      <c r="H189" s="3"/>
      <c r="I189" s="3"/>
    </row>
    <row r="190" s="10" customFormat="1">
      <c r="A190" s="3" t="s">
        <v>334</v>
      </c>
      <c r="B190" s="3" t="s">
        <v>335</v>
      </c>
      <c r="C190" s="3"/>
      <c r="D190" s="3"/>
      <c r="E190" s="3"/>
      <c r="F190" s="3"/>
      <c r="G190" s="3"/>
      <c r="H190" s="3"/>
      <c r="I190" s="3"/>
    </row>
    <row r="191" s="10" customFormat="1">
      <c r="A191" s="3" t="s">
        <v>336</v>
      </c>
      <c r="B191" s="3" t="s">
        <v>337</v>
      </c>
      <c r="C191" s="3" t="s">
        <v>62</v>
      </c>
      <c r="D191" s="3" t="s">
        <v>10</v>
      </c>
      <c r="E191" s="3" t="s">
        <v>21</v>
      </c>
      <c r="F191" s="3" t="s">
        <v>22</v>
      </c>
      <c r="G191" s="3" t="s">
        <v>23</v>
      </c>
      <c r="H191" s="3" t="s">
        <v>24</v>
      </c>
      <c r="I191" s="3" t="s">
        <v>25</v>
      </c>
    </row>
    <row r="192" s="10" customFormat="1">
      <c r="A192" s="3" t="s">
        <v>338</v>
      </c>
      <c r="B192" s="3" t="s">
        <v>339</v>
      </c>
      <c r="C192" s="3" t="s">
        <v>62</v>
      </c>
      <c r="D192" s="3" t="s">
        <v>10</v>
      </c>
      <c r="E192" s="3" t="s">
        <v>21</v>
      </c>
      <c r="F192" s="3" t="s">
        <v>22</v>
      </c>
      <c r="G192" s="3" t="s">
        <v>23</v>
      </c>
      <c r="H192" s="3" t="s">
        <v>24</v>
      </c>
      <c r="I192" s="3" t="s">
        <v>25</v>
      </c>
    </row>
    <row r="193" s="10" customFormat="1">
      <c r="A193" s="3" t="s">
        <v>340</v>
      </c>
      <c r="B193" s="3" t="s">
        <v>341</v>
      </c>
      <c r="C193" s="3" t="s">
        <v>62</v>
      </c>
      <c r="D193" s="3" t="s">
        <v>10</v>
      </c>
      <c r="E193" s="3" t="s">
        <v>21</v>
      </c>
      <c r="F193" s="3" t="s">
        <v>22</v>
      </c>
      <c r="G193" s="3" t="s">
        <v>23</v>
      </c>
      <c r="H193" s="3" t="s">
        <v>24</v>
      </c>
      <c r="I193" s="3" t="s">
        <v>25</v>
      </c>
    </row>
    <row r="194" s="10" customFormat="1">
      <c r="A194" s="3" t="s">
        <v>342</v>
      </c>
      <c r="B194" s="3" t="s">
        <v>343</v>
      </c>
      <c r="C194" s="3" t="s">
        <v>62</v>
      </c>
      <c r="D194" s="3" t="s">
        <v>10</v>
      </c>
      <c r="E194" s="3" t="s">
        <v>21</v>
      </c>
      <c r="F194" s="3" t="s">
        <v>22</v>
      </c>
      <c r="G194" s="3" t="s">
        <v>23</v>
      </c>
      <c r="H194" s="3" t="s">
        <v>24</v>
      </c>
      <c r="I194" s="3" t="s">
        <v>25</v>
      </c>
    </row>
    <row r="195" s="10" customFormat="1">
      <c r="A195" s="3" t="s">
        <v>344</v>
      </c>
      <c r="B195" s="3" t="s">
        <v>345</v>
      </c>
      <c r="C195" s="3" t="s">
        <v>62</v>
      </c>
      <c r="D195" s="3" t="s">
        <v>10</v>
      </c>
      <c r="E195" s="3" t="s">
        <v>21</v>
      </c>
      <c r="F195" s="3" t="s">
        <v>22</v>
      </c>
      <c r="G195" s="3" t="s">
        <v>23</v>
      </c>
      <c r="H195" s="3" t="s">
        <v>24</v>
      </c>
      <c r="I195" s="3" t="s">
        <v>25</v>
      </c>
    </row>
    <row r="196" s="10" customFormat="1">
      <c r="A196" s="3" t="s">
        <v>346</v>
      </c>
      <c r="B196" s="3" t="s">
        <v>347</v>
      </c>
      <c r="C196" s="3" t="s">
        <v>62</v>
      </c>
      <c r="D196" s="3" t="s">
        <v>10</v>
      </c>
      <c r="E196" s="3" t="s">
        <v>21</v>
      </c>
      <c r="F196" s="3" t="s">
        <v>22</v>
      </c>
      <c r="G196" s="3" t="s">
        <v>23</v>
      </c>
      <c r="H196" s="3" t="s">
        <v>24</v>
      </c>
      <c r="I196" s="3" t="s">
        <v>25</v>
      </c>
    </row>
    <row r="197" s="10" customFormat="1">
      <c r="A197" s="3" t="s">
        <v>348</v>
      </c>
      <c r="B197" s="3" t="s">
        <v>349</v>
      </c>
      <c r="C197" s="3" t="s">
        <v>62</v>
      </c>
      <c r="D197" s="3" t="s">
        <v>10</v>
      </c>
      <c r="E197" s="3" t="s">
        <v>21</v>
      </c>
      <c r="F197" s="3" t="s">
        <v>22</v>
      </c>
      <c r="G197" s="3" t="s">
        <v>23</v>
      </c>
      <c r="H197" s="3" t="s">
        <v>24</v>
      </c>
      <c r="I197" s="3" t="s">
        <v>25</v>
      </c>
    </row>
    <row r="198" s="10" customFormat="1">
      <c r="A198" s="3" t="s">
        <v>350</v>
      </c>
      <c r="B198" s="3" t="s">
        <v>351</v>
      </c>
      <c r="C198" s="3"/>
      <c r="D198" s="3"/>
      <c r="E198" s="3"/>
      <c r="F198" s="3"/>
      <c r="G198" s="3"/>
      <c r="H198" s="3"/>
      <c r="I198" s="3"/>
    </row>
    <row r="199" s="10" customFormat="1">
      <c r="A199" s="3" t="s">
        <v>352</v>
      </c>
      <c r="B199" s="3" t="s">
        <v>353</v>
      </c>
      <c r="C199" s="3"/>
      <c r="D199" s="3"/>
      <c r="E199" s="3"/>
      <c r="F199" s="3"/>
      <c r="G199" s="3"/>
      <c r="H199" s="3"/>
      <c r="I199" s="3"/>
    </row>
    <row r="200" s="10" customFormat="1">
      <c r="A200" s="3" t="s">
        <v>354</v>
      </c>
      <c r="B200" s="3" t="s">
        <v>353</v>
      </c>
      <c r="C200" s="3"/>
      <c r="D200" s="3"/>
      <c r="E200" s="3"/>
      <c r="F200" s="3"/>
      <c r="G200" s="3"/>
      <c r="H200" s="3"/>
      <c r="I200" s="3"/>
    </row>
    <row r="201" s="10" customFormat="1">
      <c r="A201" s="3" t="s">
        <v>355</v>
      </c>
      <c r="B201" s="3" t="s">
        <v>353</v>
      </c>
      <c r="C201" s="3" t="s">
        <v>62</v>
      </c>
      <c r="D201" s="3" t="s">
        <v>10</v>
      </c>
      <c r="E201" s="3" t="s">
        <v>21</v>
      </c>
      <c r="F201" s="3" t="s">
        <v>22</v>
      </c>
      <c r="G201" s="3" t="s">
        <v>23</v>
      </c>
      <c r="H201" s="3" t="s">
        <v>24</v>
      </c>
      <c r="I201" s="3" t="s">
        <v>25</v>
      </c>
    </row>
    <row r="202" s="10" customFormat="1">
      <c r="A202" s="3" t="s">
        <v>356</v>
      </c>
      <c r="B202" s="3" t="s">
        <v>357</v>
      </c>
      <c r="C202" s="3"/>
      <c r="D202" s="3"/>
      <c r="E202" s="3"/>
      <c r="F202" s="3"/>
      <c r="G202" s="3"/>
      <c r="H202" s="3"/>
      <c r="I202" s="3"/>
    </row>
    <row r="203" s="10" customFormat="1">
      <c r="A203" s="3" t="s">
        <v>358</v>
      </c>
      <c r="B203" s="3" t="s">
        <v>359</v>
      </c>
      <c r="C203" s="3"/>
      <c r="D203" s="3"/>
      <c r="E203" s="3"/>
      <c r="F203" s="3"/>
      <c r="G203" s="3"/>
      <c r="H203" s="3"/>
      <c r="I203" s="3"/>
    </row>
    <row r="204" s="10" customFormat="1">
      <c r="A204" s="3" t="s">
        <v>360</v>
      </c>
      <c r="B204" s="3" t="s">
        <v>361</v>
      </c>
      <c r="C204" s="3"/>
      <c r="D204" s="3"/>
      <c r="E204" s="3"/>
      <c r="F204" s="3"/>
      <c r="G204" s="3"/>
      <c r="H204" s="3"/>
      <c r="I204" s="3"/>
    </row>
    <row r="205" s="10" customFormat="1">
      <c r="A205" s="3" t="s">
        <v>362</v>
      </c>
      <c r="B205" s="3" t="s">
        <v>363</v>
      </c>
      <c r="C205" s="3"/>
      <c r="D205" s="3"/>
      <c r="E205" s="3"/>
      <c r="F205" s="3"/>
      <c r="G205" s="3"/>
      <c r="H205" s="3"/>
      <c r="I205" s="3"/>
    </row>
    <row r="206" s="10" customFormat="1">
      <c r="A206" s="3" t="s">
        <v>364</v>
      </c>
      <c r="B206" s="3" t="s">
        <v>365</v>
      </c>
      <c r="C206" s="3" t="s">
        <v>366</v>
      </c>
      <c r="D206" s="3" t="s">
        <v>357</v>
      </c>
      <c r="E206" s="3" t="s">
        <v>21</v>
      </c>
      <c r="F206" s="3" t="s">
        <v>22</v>
      </c>
      <c r="G206" s="3" t="s">
        <v>23</v>
      </c>
      <c r="H206" s="3" t="s">
        <v>24</v>
      </c>
      <c r="I206" s="3" t="s">
        <v>25</v>
      </c>
    </row>
    <row r="207" s="10" customFormat="1">
      <c r="A207" s="3" t="s">
        <v>367</v>
      </c>
      <c r="B207" s="3" t="s">
        <v>368</v>
      </c>
      <c r="C207" s="3" t="s">
        <v>366</v>
      </c>
      <c r="D207" s="3" t="s">
        <v>357</v>
      </c>
      <c r="E207" s="3" t="s">
        <v>21</v>
      </c>
      <c r="F207" s="3" t="s">
        <v>22</v>
      </c>
      <c r="G207" s="3" t="s">
        <v>23</v>
      </c>
      <c r="H207" s="3" t="s">
        <v>24</v>
      </c>
      <c r="I207" s="3" t="s">
        <v>25</v>
      </c>
    </row>
    <row r="208" s="10" customFormat="1">
      <c r="A208" s="3" t="s">
        <v>369</v>
      </c>
      <c r="B208" s="3" t="s">
        <v>370</v>
      </c>
      <c r="C208" s="3"/>
      <c r="D208" s="3"/>
      <c r="E208" s="3"/>
      <c r="F208" s="3"/>
      <c r="G208" s="3"/>
      <c r="H208" s="3"/>
      <c r="I208" s="3"/>
    </row>
    <row r="209" s="10" customFormat="1">
      <c r="A209" s="3" t="s">
        <v>371</v>
      </c>
      <c r="B209" s="3" t="s">
        <v>108</v>
      </c>
      <c r="C209" s="3"/>
      <c r="D209" s="3"/>
      <c r="E209" s="3"/>
      <c r="F209" s="3"/>
      <c r="G209" s="3"/>
      <c r="H209" s="3"/>
      <c r="I209" s="3"/>
    </row>
    <row r="210" s="10" customFormat="1">
      <c r="A210" s="3" t="s">
        <v>372</v>
      </c>
      <c r="B210" s="3" t="s">
        <v>108</v>
      </c>
      <c r="C210" s="3" t="s">
        <v>366</v>
      </c>
      <c r="D210" s="3" t="s">
        <v>357</v>
      </c>
      <c r="E210" s="3" t="s">
        <v>21</v>
      </c>
      <c r="F210" s="3" t="s">
        <v>22</v>
      </c>
      <c r="G210" s="3" t="s">
        <v>23</v>
      </c>
      <c r="H210" s="3" t="s">
        <v>24</v>
      </c>
      <c r="I210" s="3" t="s">
        <v>25</v>
      </c>
    </row>
    <row r="211" s="10" customFormat="1">
      <c r="A211" s="3" t="s">
        <v>373</v>
      </c>
      <c r="B211" s="3" t="s">
        <v>374</v>
      </c>
      <c r="C211" s="3"/>
      <c r="D211" s="3"/>
      <c r="E211" s="3"/>
      <c r="F211" s="3"/>
      <c r="G211" s="3"/>
      <c r="H211" s="3"/>
      <c r="I211" s="3"/>
    </row>
    <row r="212" s="10" customFormat="1">
      <c r="A212" s="3" t="s">
        <v>375</v>
      </c>
      <c r="B212" s="3" t="s">
        <v>376</v>
      </c>
      <c r="C212" s="3"/>
      <c r="D212" s="3"/>
      <c r="E212" s="3"/>
      <c r="F212" s="3"/>
      <c r="G212" s="3"/>
      <c r="H212" s="3"/>
      <c r="I212" s="3"/>
    </row>
    <row r="213" s="10" customFormat="1">
      <c r="A213" s="3" t="s">
        <v>377</v>
      </c>
      <c r="B213" s="3" t="s">
        <v>376</v>
      </c>
      <c r="C213" s="3"/>
      <c r="D213" s="3"/>
      <c r="E213" s="3"/>
      <c r="F213" s="3"/>
      <c r="G213" s="3"/>
      <c r="H213" s="3"/>
      <c r="I213" s="3"/>
    </row>
    <row r="214" s="10" customFormat="1">
      <c r="A214" s="3" t="s">
        <v>378</v>
      </c>
      <c r="B214" s="3" t="s">
        <v>376</v>
      </c>
      <c r="C214" s="3" t="s">
        <v>379</v>
      </c>
      <c r="D214" s="3" t="s">
        <v>357</v>
      </c>
      <c r="E214" s="3" t="s">
        <v>21</v>
      </c>
      <c r="F214" s="3" t="s">
        <v>22</v>
      </c>
      <c r="G214" s="3" t="s">
        <v>23</v>
      </c>
      <c r="H214" s="3" t="s">
        <v>24</v>
      </c>
      <c r="I214" s="3" t="s">
        <v>25</v>
      </c>
    </row>
    <row r="215" s="10" customFormat="1">
      <c r="A215" s="3" t="s">
        <v>380</v>
      </c>
      <c r="B215" s="3" t="s">
        <v>381</v>
      </c>
      <c r="C215" s="3"/>
      <c r="D215" s="3"/>
      <c r="E215" s="3"/>
      <c r="F215" s="3"/>
      <c r="G215" s="3"/>
      <c r="H215" s="3"/>
      <c r="I215" s="3"/>
    </row>
    <row r="216" s="10" customFormat="1">
      <c r="A216" s="3" t="s">
        <v>382</v>
      </c>
      <c r="B216" s="3" t="s">
        <v>381</v>
      </c>
      <c r="C216" s="3"/>
      <c r="D216" s="3"/>
      <c r="E216" s="3"/>
      <c r="F216" s="3"/>
      <c r="G216" s="3"/>
      <c r="H216" s="3"/>
      <c r="I216" s="3"/>
    </row>
    <row r="217" s="10" customFormat="1">
      <c r="A217" s="3" t="s">
        <v>383</v>
      </c>
      <c r="B217" s="3" t="s">
        <v>381</v>
      </c>
      <c r="C217" s="3" t="s">
        <v>379</v>
      </c>
      <c r="D217" s="3" t="s">
        <v>357</v>
      </c>
      <c r="E217" s="3" t="s">
        <v>21</v>
      </c>
      <c r="F217" s="3" t="s">
        <v>22</v>
      </c>
      <c r="G217" s="3" t="s">
        <v>23</v>
      </c>
      <c r="H217" s="3" t="s">
        <v>24</v>
      </c>
      <c r="I217" s="3" t="s">
        <v>25</v>
      </c>
    </row>
    <row r="218" s="10" customFormat="1">
      <c r="A218" s="3" t="s">
        <v>1441</v>
      </c>
      <c r="B218" s="3" t="s">
        <v>1442</v>
      </c>
      <c r="C218" s="3"/>
      <c r="D218" s="3"/>
      <c r="E218" s="3"/>
      <c r="F218" s="3"/>
      <c r="G218" s="3"/>
      <c r="H218" s="3"/>
      <c r="I218" s="3"/>
    </row>
    <row r="219" s="10" customFormat="1">
      <c r="A219" s="3" t="s">
        <v>1443</v>
      </c>
      <c r="B219" s="3" t="s">
        <v>1442</v>
      </c>
      <c r="C219" s="3" t="s">
        <v>379</v>
      </c>
      <c r="D219" s="3" t="s">
        <v>357</v>
      </c>
      <c r="E219" s="3" t="s">
        <v>38</v>
      </c>
      <c r="F219" s="3" t="s">
        <v>95</v>
      </c>
      <c r="G219" s="3" t="s">
        <v>23</v>
      </c>
      <c r="H219" s="3" t="s">
        <v>24</v>
      </c>
      <c r="I219" s="3" t="s">
        <v>25</v>
      </c>
    </row>
    <row r="220" s="10" customFormat="1">
      <c r="A220" s="3" t="s">
        <v>384</v>
      </c>
      <c r="B220" s="3" t="s">
        <v>385</v>
      </c>
      <c r="C220" s="3"/>
      <c r="D220" s="3"/>
      <c r="E220" s="3"/>
      <c r="F220" s="3"/>
      <c r="G220" s="3"/>
      <c r="H220" s="3"/>
      <c r="I220" s="3"/>
    </row>
    <row r="221" s="10" customFormat="1">
      <c r="A221" s="3" t="s">
        <v>386</v>
      </c>
      <c r="B221" s="3" t="s">
        <v>387</v>
      </c>
      <c r="C221" s="3"/>
      <c r="D221" s="3"/>
      <c r="E221" s="3"/>
      <c r="F221" s="3"/>
      <c r="G221" s="3"/>
      <c r="H221" s="3"/>
      <c r="I221" s="3"/>
    </row>
    <row r="222" s="10" customFormat="1">
      <c r="A222" s="3" t="s">
        <v>388</v>
      </c>
      <c r="B222" s="3" t="s">
        <v>387</v>
      </c>
      <c r="C222" s="3"/>
      <c r="D222" s="3"/>
      <c r="E222" s="3"/>
      <c r="F222" s="3"/>
      <c r="G222" s="3"/>
      <c r="H222" s="3"/>
      <c r="I222" s="3"/>
    </row>
    <row r="223" s="10" customFormat="1">
      <c r="A223" s="3" t="s">
        <v>389</v>
      </c>
      <c r="B223" s="3" t="s">
        <v>387</v>
      </c>
      <c r="C223" s="3" t="s">
        <v>379</v>
      </c>
      <c r="D223" s="3" t="s">
        <v>357</v>
      </c>
      <c r="E223" s="3" t="s">
        <v>21</v>
      </c>
      <c r="F223" s="3" t="s">
        <v>22</v>
      </c>
      <c r="G223" s="3" t="s">
        <v>23</v>
      </c>
      <c r="H223" s="3" t="s">
        <v>24</v>
      </c>
      <c r="I223" s="3" t="s">
        <v>25</v>
      </c>
    </row>
    <row r="224" s="10" customFormat="1">
      <c r="A224" s="3" t="s">
        <v>390</v>
      </c>
      <c r="B224" s="3" t="s">
        <v>391</v>
      </c>
      <c r="C224" s="3"/>
      <c r="D224" s="3"/>
      <c r="E224" s="3"/>
      <c r="F224" s="3"/>
      <c r="G224" s="3"/>
      <c r="H224" s="3"/>
      <c r="I224" s="3"/>
    </row>
    <row r="225" s="10" customFormat="1">
      <c r="A225" s="3" t="s">
        <v>392</v>
      </c>
      <c r="B225" s="3" t="s">
        <v>393</v>
      </c>
      <c r="C225" s="3"/>
      <c r="D225" s="3"/>
      <c r="E225" s="3"/>
      <c r="F225" s="3"/>
      <c r="G225" s="3"/>
      <c r="H225" s="3"/>
      <c r="I225" s="3"/>
    </row>
    <row r="226" s="10" customFormat="1">
      <c r="A226" s="3" t="s">
        <v>394</v>
      </c>
      <c r="B226" s="3" t="s">
        <v>393</v>
      </c>
      <c r="C226" s="3" t="s">
        <v>379</v>
      </c>
      <c r="D226" s="3" t="s">
        <v>357</v>
      </c>
      <c r="E226" s="3" t="s">
        <v>21</v>
      </c>
      <c r="F226" s="3" t="s">
        <v>22</v>
      </c>
      <c r="G226" s="3" t="s">
        <v>23</v>
      </c>
      <c r="H226" s="3" t="s">
        <v>24</v>
      </c>
      <c r="I226" s="3" t="s">
        <v>25</v>
      </c>
    </row>
    <row r="227" s="10" customFormat="1">
      <c r="A227" s="3" t="s">
        <v>395</v>
      </c>
      <c r="B227" s="3" t="s">
        <v>108</v>
      </c>
      <c r="C227" s="3"/>
      <c r="D227" s="3"/>
      <c r="E227" s="3"/>
      <c r="F227" s="3"/>
      <c r="G227" s="3"/>
      <c r="H227" s="3"/>
      <c r="I227" s="3"/>
    </row>
    <row r="228" s="10" customFormat="1">
      <c r="A228" s="3" t="s">
        <v>396</v>
      </c>
      <c r="B228" s="3" t="s">
        <v>108</v>
      </c>
      <c r="C228" s="3" t="s">
        <v>379</v>
      </c>
      <c r="D228" s="3" t="s">
        <v>357</v>
      </c>
      <c r="E228" s="3" t="s">
        <v>38</v>
      </c>
      <c r="F228" s="3" t="s">
        <v>95</v>
      </c>
      <c r="G228" s="3" t="s">
        <v>23</v>
      </c>
      <c r="H228" s="3" t="s">
        <v>24</v>
      </c>
      <c r="I228" s="3" t="s">
        <v>25</v>
      </c>
    </row>
    <row r="229" s="10" customFormat="1">
      <c r="A229" s="3" t="s">
        <v>397</v>
      </c>
      <c r="B229" s="3" t="s">
        <v>398</v>
      </c>
      <c r="C229" s="3" t="s">
        <v>379</v>
      </c>
      <c r="D229" s="3" t="s">
        <v>357</v>
      </c>
      <c r="E229" s="3" t="s">
        <v>21</v>
      </c>
      <c r="F229" s="3" t="s">
        <v>95</v>
      </c>
      <c r="G229" s="3" t="s">
        <v>23</v>
      </c>
      <c r="H229" s="3" t="s">
        <v>24</v>
      </c>
      <c r="I229" s="3" t="s">
        <v>25</v>
      </c>
    </row>
    <row r="230" s="10" customFormat="1">
      <c r="A230" s="3" t="s">
        <v>1417</v>
      </c>
      <c r="B230" s="3" t="s">
        <v>1418</v>
      </c>
      <c r="C230" s="3" t="s">
        <v>379</v>
      </c>
      <c r="D230" s="3" t="s">
        <v>357</v>
      </c>
      <c r="E230" s="3" t="s">
        <v>21</v>
      </c>
      <c r="F230" s="3" t="s">
        <v>22</v>
      </c>
      <c r="G230" s="3" t="s">
        <v>23</v>
      </c>
      <c r="H230" s="3" t="s">
        <v>24</v>
      </c>
      <c r="I230" s="3" t="s">
        <v>25</v>
      </c>
    </row>
    <row r="231" s="10" customFormat="1">
      <c r="A231" s="3" t="s">
        <v>399</v>
      </c>
      <c r="B231" s="3" t="s">
        <v>400</v>
      </c>
      <c r="C231" s="3"/>
      <c r="D231" s="3"/>
      <c r="E231" s="3"/>
      <c r="F231" s="3"/>
      <c r="G231" s="3"/>
      <c r="H231" s="3"/>
      <c r="I231" s="3"/>
    </row>
    <row r="232" s="10" customFormat="1">
      <c r="A232" s="3" t="s">
        <v>401</v>
      </c>
      <c r="B232" s="3" t="s">
        <v>402</v>
      </c>
      <c r="C232" s="3"/>
      <c r="D232" s="3"/>
      <c r="E232" s="3"/>
      <c r="F232" s="3"/>
      <c r="G232" s="3"/>
      <c r="H232" s="3"/>
      <c r="I232" s="3"/>
    </row>
    <row r="233" s="10" customFormat="1">
      <c r="A233" s="3" t="s">
        <v>403</v>
      </c>
      <c r="B233" s="3" t="s">
        <v>404</v>
      </c>
      <c r="C233" s="3" t="s">
        <v>405</v>
      </c>
      <c r="D233" s="3" t="s">
        <v>357</v>
      </c>
      <c r="E233" s="3" t="s">
        <v>21</v>
      </c>
      <c r="F233" s="3" t="s">
        <v>22</v>
      </c>
      <c r="G233" s="3" t="s">
        <v>23</v>
      </c>
      <c r="H233" s="3" t="s">
        <v>24</v>
      </c>
      <c r="I233" s="3" t="s">
        <v>25</v>
      </c>
    </row>
    <row r="234" s="10" customFormat="1">
      <c r="A234" s="3" t="s">
        <v>406</v>
      </c>
      <c r="B234" s="3" t="s">
        <v>407</v>
      </c>
      <c r="C234" s="3"/>
      <c r="D234" s="3"/>
      <c r="E234" s="3"/>
      <c r="F234" s="3"/>
      <c r="G234" s="3"/>
      <c r="H234" s="3"/>
      <c r="I234" s="3"/>
    </row>
    <row r="235" s="10" customFormat="1">
      <c r="A235" s="3" t="s">
        <v>408</v>
      </c>
      <c r="B235" s="3" t="s">
        <v>409</v>
      </c>
      <c r="C235" s="3"/>
      <c r="D235" s="3"/>
      <c r="E235" s="3"/>
      <c r="F235" s="3"/>
      <c r="G235" s="3"/>
      <c r="H235" s="3"/>
      <c r="I235" s="3"/>
    </row>
    <row r="236" s="10" customFormat="1">
      <c r="A236" s="3" t="s">
        <v>410</v>
      </c>
      <c r="B236" s="3" t="s">
        <v>409</v>
      </c>
      <c r="C236" s="3" t="s">
        <v>379</v>
      </c>
      <c r="D236" s="3" t="s">
        <v>357</v>
      </c>
      <c r="E236" s="3" t="s">
        <v>21</v>
      </c>
      <c r="F236" s="3" t="s">
        <v>22</v>
      </c>
      <c r="G236" s="3" t="s">
        <v>23</v>
      </c>
      <c r="H236" s="3" t="s">
        <v>24</v>
      </c>
      <c r="I236" s="3" t="s">
        <v>25</v>
      </c>
    </row>
    <row r="237" s="10" customFormat="1">
      <c r="A237" s="3" t="s">
        <v>411</v>
      </c>
      <c r="B237" s="3" t="s">
        <v>412</v>
      </c>
      <c r="C237" s="3"/>
      <c r="D237" s="3"/>
      <c r="E237" s="3"/>
      <c r="F237" s="3"/>
      <c r="G237" s="3"/>
      <c r="H237" s="3"/>
      <c r="I237" s="3"/>
    </row>
    <row r="238" s="10" customFormat="1">
      <c r="A238" s="3" t="s">
        <v>413</v>
      </c>
      <c r="B238" s="3" t="s">
        <v>393</v>
      </c>
      <c r="C238" s="3"/>
      <c r="D238" s="3"/>
      <c r="E238" s="3"/>
      <c r="F238" s="3"/>
      <c r="G238" s="3"/>
      <c r="H238" s="3"/>
      <c r="I238" s="3"/>
    </row>
    <row r="239" s="10" customFormat="1">
      <c r="A239" s="3" t="s">
        <v>414</v>
      </c>
      <c r="B239" s="3" t="s">
        <v>393</v>
      </c>
      <c r="C239" s="3" t="s">
        <v>379</v>
      </c>
      <c r="D239" s="3" t="s">
        <v>357</v>
      </c>
      <c r="E239" s="3" t="s">
        <v>415</v>
      </c>
      <c r="F239" s="3" t="s">
        <v>22</v>
      </c>
      <c r="G239" s="3" t="s">
        <v>23</v>
      </c>
      <c r="H239" s="3" t="s">
        <v>24</v>
      </c>
      <c r="I239" s="3" t="s">
        <v>25</v>
      </c>
    </row>
    <row r="240" s="10" customFormat="1">
      <c r="A240" s="3" t="s">
        <v>416</v>
      </c>
      <c r="B240" s="3" t="s">
        <v>417</v>
      </c>
      <c r="C240" s="3" t="s">
        <v>379</v>
      </c>
      <c r="D240" s="3" t="s">
        <v>357</v>
      </c>
      <c r="E240" s="3" t="s">
        <v>418</v>
      </c>
      <c r="F240" s="3" t="s">
        <v>22</v>
      </c>
      <c r="G240" s="3" t="s">
        <v>23</v>
      </c>
      <c r="H240" s="3" t="s">
        <v>24</v>
      </c>
      <c r="I240" s="3" t="s">
        <v>25</v>
      </c>
    </row>
    <row r="241" s="10" customFormat="1">
      <c r="A241" s="3" t="s">
        <v>419</v>
      </c>
      <c r="B241" s="3" t="s">
        <v>420</v>
      </c>
      <c r="C241" s="3" t="s">
        <v>379</v>
      </c>
      <c r="D241" s="3" t="s">
        <v>357</v>
      </c>
      <c r="E241" s="3" t="s">
        <v>21</v>
      </c>
      <c r="F241" s="3" t="s">
        <v>22</v>
      </c>
      <c r="G241" s="3" t="s">
        <v>23</v>
      </c>
      <c r="H241" s="3" t="s">
        <v>24</v>
      </c>
      <c r="I241" s="3" t="s">
        <v>25</v>
      </c>
    </row>
    <row r="242" s="10" customFormat="1">
      <c r="A242" s="3" t="s">
        <v>421</v>
      </c>
      <c r="B242" s="3" t="s">
        <v>422</v>
      </c>
      <c r="C242" s="3" t="s">
        <v>379</v>
      </c>
      <c r="D242" s="3" t="s">
        <v>357</v>
      </c>
      <c r="E242" s="3" t="s">
        <v>21</v>
      </c>
      <c r="F242" s="3" t="s">
        <v>22</v>
      </c>
      <c r="G242" s="3" t="s">
        <v>23</v>
      </c>
      <c r="H242" s="3" t="s">
        <v>24</v>
      </c>
      <c r="I242" s="3" t="s">
        <v>25</v>
      </c>
    </row>
    <row r="243" s="10" customFormat="1">
      <c r="A243" s="3" t="s">
        <v>423</v>
      </c>
      <c r="B243" s="3" t="s">
        <v>424</v>
      </c>
      <c r="C243" s="3" t="s">
        <v>379</v>
      </c>
      <c r="D243" s="3" t="s">
        <v>357</v>
      </c>
      <c r="E243" s="3" t="s">
        <v>21</v>
      </c>
      <c r="F243" s="3" t="s">
        <v>22</v>
      </c>
      <c r="G243" s="3" t="s">
        <v>23</v>
      </c>
      <c r="H243" s="3" t="s">
        <v>24</v>
      </c>
      <c r="I243" s="3" t="s">
        <v>25</v>
      </c>
    </row>
    <row r="244" s="10" customFormat="1">
      <c r="A244" s="3" t="s">
        <v>425</v>
      </c>
      <c r="B244" s="3" t="s">
        <v>426</v>
      </c>
      <c r="C244" s="3" t="s">
        <v>379</v>
      </c>
      <c r="D244" s="3" t="s">
        <v>357</v>
      </c>
      <c r="E244" s="3" t="s">
        <v>21</v>
      </c>
      <c r="F244" s="3" t="s">
        <v>22</v>
      </c>
      <c r="G244" s="3" t="s">
        <v>23</v>
      </c>
      <c r="H244" s="3" t="s">
        <v>24</v>
      </c>
      <c r="I244" s="3" t="s">
        <v>25</v>
      </c>
    </row>
    <row r="245" s="10" customFormat="1">
      <c r="A245" s="3" t="s">
        <v>427</v>
      </c>
      <c r="B245" s="3" t="s">
        <v>428</v>
      </c>
      <c r="C245" s="3" t="s">
        <v>379</v>
      </c>
      <c r="D245" s="3" t="s">
        <v>357</v>
      </c>
      <c r="E245" s="3" t="s">
        <v>21</v>
      </c>
      <c r="F245" s="3" t="s">
        <v>22</v>
      </c>
      <c r="G245" s="3" t="s">
        <v>23</v>
      </c>
      <c r="H245" s="3" t="s">
        <v>24</v>
      </c>
      <c r="I245" s="3" t="s">
        <v>25</v>
      </c>
    </row>
    <row r="246" s="10" customFormat="1">
      <c r="A246" s="3" t="s">
        <v>429</v>
      </c>
      <c r="B246" s="3" t="s">
        <v>430</v>
      </c>
      <c r="C246" s="3" t="s">
        <v>379</v>
      </c>
      <c r="D246" s="3" t="s">
        <v>357</v>
      </c>
      <c r="E246" s="3" t="s">
        <v>21</v>
      </c>
      <c r="F246" s="3" t="s">
        <v>22</v>
      </c>
      <c r="G246" s="3" t="s">
        <v>23</v>
      </c>
      <c r="H246" s="3" t="s">
        <v>24</v>
      </c>
      <c r="I246" s="3" t="s">
        <v>25</v>
      </c>
    </row>
    <row r="247" s="10" customFormat="1">
      <c r="A247" s="3" t="s">
        <v>431</v>
      </c>
      <c r="B247" s="3" t="s">
        <v>432</v>
      </c>
      <c r="C247" s="3" t="s">
        <v>379</v>
      </c>
      <c r="D247" s="3" t="s">
        <v>357</v>
      </c>
      <c r="E247" s="3" t="s">
        <v>21</v>
      </c>
      <c r="F247" s="3" t="s">
        <v>22</v>
      </c>
      <c r="G247" s="3" t="s">
        <v>23</v>
      </c>
      <c r="H247" s="3" t="s">
        <v>24</v>
      </c>
      <c r="I247" s="3" t="s">
        <v>25</v>
      </c>
    </row>
    <row r="248" s="10" customFormat="1">
      <c r="A248" s="3" t="s">
        <v>433</v>
      </c>
      <c r="B248" s="3" t="s">
        <v>434</v>
      </c>
      <c r="C248" s="3" t="s">
        <v>379</v>
      </c>
      <c r="D248" s="3" t="s">
        <v>357</v>
      </c>
      <c r="E248" s="3" t="s">
        <v>21</v>
      </c>
      <c r="F248" s="3" t="s">
        <v>22</v>
      </c>
      <c r="G248" s="3" t="s">
        <v>23</v>
      </c>
      <c r="H248" s="3" t="s">
        <v>24</v>
      </c>
      <c r="I248" s="3" t="s">
        <v>25</v>
      </c>
    </row>
    <row r="249" s="10" customFormat="1">
      <c r="A249" s="3" t="s">
        <v>435</v>
      </c>
      <c r="B249" s="3" t="s">
        <v>436</v>
      </c>
      <c r="C249" s="3"/>
      <c r="D249" s="3"/>
      <c r="E249" s="3"/>
      <c r="F249" s="3"/>
      <c r="G249" s="3"/>
      <c r="H249" s="3"/>
      <c r="I249" s="3"/>
    </row>
    <row r="250" s="10" customFormat="1">
      <c r="A250" s="3" t="s">
        <v>437</v>
      </c>
      <c r="B250" s="3" t="s">
        <v>436</v>
      </c>
      <c r="C250" s="3" t="s">
        <v>379</v>
      </c>
      <c r="D250" s="3" t="s">
        <v>357</v>
      </c>
      <c r="E250" s="3" t="s">
        <v>415</v>
      </c>
      <c r="F250" s="3" t="s">
        <v>22</v>
      </c>
      <c r="G250" s="3" t="s">
        <v>23</v>
      </c>
      <c r="H250" s="3" t="s">
        <v>24</v>
      </c>
      <c r="I250" s="3" t="s">
        <v>25</v>
      </c>
    </row>
    <row r="251" s="10" customFormat="1">
      <c r="A251" s="3" t="s">
        <v>438</v>
      </c>
      <c r="B251" s="3" t="s">
        <v>439</v>
      </c>
      <c r="C251" s="3" t="s">
        <v>379</v>
      </c>
      <c r="D251" s="3" t="s">
        <v>357</v>
      </c>
      <c r="E251" s="3" t="s">
        <v>418</v>
      </c>
      <c r="F251" s="3" t="s">
        <v>22</v>
      </c>
      <c r="G251" s="3" t="s">
        <v>23</v>
      </c>
      <c r="H251" s="3" t="s">
        <v>24</v>
      </c>
      <c r="I251" s="3" t="s">
        <v>25</v>
      </c>
    </row>
    <row r="252" s="10" customFormat="1">
      <c r="A252" s="3" t="s">
        <v>440</v>
      </c>
      <c r="B252" s="3" t="s">
        <v>441</v>
      </c>
      <c r="C252" s="3"/>
      <c r="D252" s="3"/>
      <c r="E252" s="3"/>
      <c r="F252" s="3"/>
      <c r="G252" s="3"/>
      <c r="H252" s="3"/>
      <c r="I252" s="3"/>
    </row>
    <row r="253" s="10" customFormat="1">
      <c r="A253" s="3" t="s">
        <v>442</v>
      </c>
      <c r="B253" s="3" t="s">
        <v>343</v>
      </c>
      <c r="C253" s="3" t="s">
        <v>379</v>
      </c>
      <c r="D253" s="3" t="s">
        <v>357</v>
      </c>
      <c r="E253" s="3" t="s">
        <v>415</v>
      </c>
      <c r="F253" s="3" t="s">
        <v>22</v>
      </c>
      <c r="G253" s="3" t="s">
        <v>23</v>
      </c>
      <c r="H253" s="3" t="s">
        <v>24</v>
      </c>
      <c r="I253" s="3" t="s">
        <v>25</v>
      </c>
    </row>
    <row r="254" s="10" customFormat="1">
      <c r="A254" s="3" t="s">
        <v>443</v>
      </c>
      <c r="B254" s="3" t="s">
        <v>444</v>
      </c>
      <c r="C254" s="3" t="s">
        <v>379</v>
      </c>
      <c r="D254" s="3" t="s">
        <v>357</v>
      </c>
      <c r="E254" s="3" t="s">
        <v>418</v>
      </c>
      <c r="F254" s="3" t="s">
        <v>22</v>
      </c>
      <c r="G254" s="3" t="s">
        <v>23</v>
      </c>
      <c r="H254" s="3" t="s">
        <v>24</v>
      </c>
      <c r="I254" s="3" t="s">
        <v>25</v>
      </c>
    </row>
    <row r="255" s="10" customFormat="1">
      <c r="A255" s="3" t="s">
        <v>445</v>
      </c>
      <c r="B255" s="3" t="s">
        <v>446</v>
      </c>
      <c r="C255" s="3" t="s">
        <v>379</v>
      </c>
      <c r="D255" s="3" t="s">
        <v>357</v>
      </c>
      <c r="E255" s="3" t="s">
        <v>415</v>
      </c>
      <c r="F255" s="3" t="s">
        <v>22</v>
      </c>
      <c r="G255" s="3" t="s">
        <v>23</v>
      </c>
      <c r="H255" s="3" t="s">
        <v>24</v>
      </c>
      <c r="I255" s="3" t="s">
        <v>25</v>
      </c>
    </row>
    <row r="256" s="10" customFormat="1">
      <c r="A256" s="3" t="s">
        <v>447</v>
      </c>
      <c r="B256" s="3" t="s">
        <v>448</v>
      </c>
      <c r="C256" s="3" t="s">
        <v>379</v>
      </c>
      <c r="D256" s="3" t="s">
        <v>357</v>
      </c>
      <c r="E256" s="3" t="s">
        <v>418</v>
      </c>
      <c r="F256" s="3" t="s">
        <v>22</v>
      </c>
      <c r="G256" s="3" t="s">
        <v>23</v>
      </c>
      <c r="H256" s="3" t="s">
        <v>24</v>
      </c>
      <c r="I256" s="3" t="s">
        <v>25</v>
      </c>
    </row>
    <row r="257" s="10" customFormat="1">
      <c r="A257" s="3" t="s">
        <v>449</v>
      </c>
      <c r="B257" s="3" t="s">
        <v>450</v>
      </c>
      <c r="C257" s="3" t="s">
        <v>379</v>
      </c>
      <c r="D257" s="3" t="s">
        <v>357</v>
      </c>
      <c r="E257" s="3" t="s">
        <v>415</v>
      </c>
      <c r="F257" s="3" t="s">
        <v>22</v>
      </c>
      <c r="G257" s="3" t="s">
        <v>23</v>
      </c>
      <c r="H257" s="3" t="s">
        <v>24</v>
      </c>
      <c r="I257" s="3" t="s">
        <v>25</v>
      </c>
    </row>
    <row r="258" s="10" customFormat="1">
      <c r="A258" s="3" t="s">
        <v>451</v>
      </c>
      <c r="B258" s="3" t="s">
        <v>452</v>
      </c>
      <c r="C258" s="3" t="s">
        <v>379</v>
      </c>
      <c r="D258" s="3" t="s">
        <v>357</v>
      </c>
      <c r="E258" s="3" t="s">
        <v>418</v>
      </c>
      <c r="F258" s="3" t="s">
        <v>22</v>
      </c>
      <c r="G258" s="3" t="s">
        <v>23</v>
      </c>
      <c r="H258" s="3" t="s">
        <v>24</v>
      </c>
      <c r="I258" s="3" t="s">
        <v>25</v>
      </c>
    </row>
    <row r="259" s="10" customFormat="1">
      <c r="A259" s="3" t="s">
        <v>453</v>
      </c>
      <c r="B259" s="3" t="s">
        <v>454</v>
      </c>
      <c r="C259" s="3"/>
      <c r="D259" s="3"/>
      <c r="E259" s="3"/>
      <c r="F259" s="3"/>
      <c r="G259" s="3"/>
      <c r="H259" s="3"/>
      <c r="I259" s="3"/>
    </row>
    <row r="260" s="10" customFormat="1">
      <c r="A260" s="3" t="s">
        <v>455</v>
      </c>
      <c r="B260" s="3" t="s">
        <v>454</v>
      </c>
      <c r="C260" s="3" t="s">
        <v>379</v>
      </c>
      <c r="D260" s="3" t="s">
        <v>357</v>
      </c>
      <c r="E260" s="3" t="s">
        <v>21</v>
      </c>
      <c r="F260" s="3" t="s">
        <v>22</v>
      </c>
      <c r="G260" s="3" t="s">
        <v>23</v>
      </c>
      <c r="H260" s="3" t="s">
        <v>24</v>
      </c>
      <c r="I260" s="3" t="s">
        <v>25</v>
      </c>
    </row>
    <row r="261" s="10" customFormat="1">
      <c r="A261" s="3" t="s">
        <v>456</v>
      </c>
      <c r="B261" s="3" t="s">
        <v>457</v>
      </c>
      <c r="C261" s="3"/>
      <c r="D261" s="3"/>
      <c r="E261" s="3"/>
      <c r="F261" s="3"/>
      <c r="G261" s="3"/>
      <c r="H261" s="3"/>
      <c r="I261" s="3"/>
    </row>
    <row r="262" s="10" customFormat="1">
      <c r="A262" s="3" t="s">
        <v>458</v>
      </c>
      <c r="B262" s="3" t="s">
        <v>457</v>
      </c>
      <c r="C262" s="3" t="s">
        <v>379</v>
      </c>
      <c r="D262" s="3" t="s">
        <v>357</v>
      </c>
      <c r="E262" s="3" t="s">
        <v>21</v>
      </c>
      <c r="F262" s="3" t="s">
        <v>22</v>
      </c>
      <c r="G262" s="3" t="s">
        <v>23</v>
      </c>
      <c r="H262" s="3" t="s">
        <v>24</v>
      </c>
      <c r="I262" s="3" t="s">
        <v>25</v>
      </c>
    </row>
    <row r="263" s="10" customFormat="1">
      <c r="A263" s="3" t="s">
        <v>459</v>
      </c>
      <c r="B263" s="3" t="s">
        <v>460</v>
      </c>
      <c r="C263" s="3" t="s">
        <v>379</v>
      </c>
      <c r="D263" s="3" t="s">
        <v>357</v>
      </c>
      <c r="E263" s="3" t="s">
        <v>415</v>
      </c>
      <c r="F263" s="3" t="s">
        <v>22</v>
      </c>
      <c r="G263" s="3" t="s">
        <v>23</v>
      </c>
      <c r="H263" s="3" t="s">
        <v>24</v>
      </c>
      <c r="I263" s="3" t="s">
        <v>25</v>
      </c>
    </row>
    <row r="264" s="10" customFormat="1">
      <c r="A264" s="3" t="s">
        <v>461</v>
      </c>
      <c r="B264" s="3" t="s">
        <v>462</v>
      </c>
      <c r="C264" s="3" t="s">
        <v>379</v>
      </c>
      <c r="D264" s="3" t="s">
        <v>357</v>
      </c>
      <c r="E264" s="3" t="s">
        <v>418</v>
      </c>
      <c r="F264" s="3" t="s">
        <v>22</v>
      </c>
      <c r="G264" s="3" t="s">
        <v>23</v>
      </c>
      <c r="H264" s="3" t="s">
        <v>24</v>
      </c>
      <c r="I264" s="3" t="s">
        <v>25</v>
      </c>
    </row>
    <row r="265" s="10" customFormat="1">
      <c r="A265" s="3" t="s">
        <v>463</v>
      </c>
      <c r="B265" s="3" t="s">
        <v>464</v>
      </c>
      <c r="C265" s="3"/>
      <c r="D265" s="3"/>
      <c r="E265" s="3"/>
      <c r="F265" s="3"/>
      <c r="G265" s="3"/>
      <c r="H265" s="3"/>
      <c r="I265" s="3"/>
    </row>
    <row r="266" s="10" customFormat="1">
      <c r="A266" s="3" t="s">
        <v>465</v>
      </c>
      <c r="B266" s="3" t="s">
        <v>466</v>
      </c>
      <c r="C266" s="3" t="s">
        <v>379</v>
      </c>
      <c r="D266" s="3" t="s">
        <v>357</v>
      </c>
      <c r="E266" s="3" t="s">
        <v>415</v>
      </c>
      <c r="F266" s="3" t="s">
        <v>22</v>
      </c>
      <c r="G266" s="3" t="s">
        <v>23</v>
      </c>
      <c r="H266" s="3" t="s">
        <v>24</v>
      </c>
      <c r="I266" s="3" t="s">
        <v>25</v>
      </c>
    </row>
    <row r="267" s="10" customFormat="1">
      <c r="A267" s="3" t="s">
        <v>467</v>
      </c>
      <c r="B267" s="3" t="s">
        <v>468</v>
      </c>
      <c r="C267" s="3" t="s">
        <v>379</v>
      </c>
      <c r="D267" s="3" t="s">
        <v>357</v>
      </c>
      <c r="E267" s="3" t="s">
        <v>418</v>
      </c>
      <c r="F267" s="3" t="s">
        <v>22</v>
      </c>
      <c r="G267" s="3" t="s">
        <v>23</v>
      </c>
      <c r="H267" s="3" t="s">
        <v>24</v>
      </c>
      <c r="I267" s="3" t="s">
        <v>25</v>
      </c>
    </row>
    <row r="268" s="10" customFormat="1">
      <c r="A268" s="3" t="s">
        <v>469</v>
      </c>
      <c r="B268" s="3" t="s">
        <v>470</v>
      </c>
      <c r="C268" s="3" t="s">
        <v>379</v>
      </c>
      <c r="D268" s="3" t="s">
        <v>357</v>
      </c>
      <c r="E268" s="3" t="s">
        <v>415</v>
      </c>
      <c r="F268" s="3" t="s">
        <v>22</v>
      </c>
      <c r="G268" s="3" t="s">
        <v>23</v>
      </c>
      <c r="H268" s="3" t="s">
        <v>24</v>
      </c>
      <c r="I268" s="3" t="s">
        <v>25</v>
      </c>
    </row>
    <row r="269" s="10" customFormat="1">
      <c r="A269" s="3" t="s">
        <v>471</v>
      </c>
      <c r="B269" s="3" t="s">
        <v>472</v>
      </c>
      <c r="C269" s="3" t="s">
        <v>379</v>
      </c>
      <c r="D269" s="3" t="s">
        <v>357</v>
      </c>
      <c r="E269" s="3" t="s">
        <v>418</v>
      </c>
      <c r="F269" s="3" t="s">
        <v>22</v>
      </c>
      <c r="G269" s="3" t="s">
        <v>23</v>
      </c>
      <c r="H269" s="3" t="s">
        <v>24</v>
      </c>
      <c r="I269" s="3" t="s">
        <v>25</v>
      </c>
    </row>
    <row r="270" s="10" customFormat="1">
      <c r="A270" s="3" t="s">
        <v>473</v>
      </c>
      <c r="B270" s="3" t="s">
        <v>474</v>
      </c>
      <c r="C270" s="3"/>
      <c r="D270" s="3"/>
      <c r="E270" s="3"/>
      <c r="F270" s="3"/>
      <c r="G270" s="3"/>
      <c r="H270" s="3"/>
      <c r="I270" s="3"/>
    </row>
    <row r="271" s="10" customFormat="1">
      <c r="A271" s="3" t="s">
        <v>475</v>
      </c>
      <c r="B271" s="3" t="s">
        <v>476</v>
      </c>
      <c r="C271" s="3" t="s">
        <v>379</v>
      </c>
      <c r="D271" s="3" t="s">
        <v>357</v>
      </c>
      <c r="E271" s="3" t="s">
        <v>415</v>
      </c>
      <c r="F271" s="3" t="s">
        <v>22</v>
      </c>
      <c r="G271" s="3" t="s">
        <v>23</v>
      </c>
      <c r="H271" s="3" t="s">
        <v>24</v>
      </c>
      <c r="I271" s="3" t="s">
        <v>25</v>
      </c>
    </row>
    <row r="272" s="10" customFormat="1">
      <c r="A272" s="3" t="s">
        <v>477</v>
      </c>
      <c r="B272" s="3" t="s">
        <v>478</v>
      </c>
      <c r="C272" s="3" t="s">
        <v>379</v>
      </c>
      <c r="D272" s="3" t="s">
        <v>357</v>
      </c>
      <c r="E272" s="3" t="s">
        <v>418</v>
      </c>
      <c r="F272" s="3" t="s">
        <v>22</v>
      </c>
      <c r="G272" s="3" t="s">
        <v>23</v>
      </c>
      <c r="H272" s="3" t="s">
        <v>24</v>
      </c>
      <c r="I272" s="3" t="s">
        <v>25</v>
      </c>
    </row>
    <row r="273" s="10" customFormat="1">
      <c r="A273" s="3" t="s">
        <v>479</v>
      </c>
      <c r="B273" s="3" t="s">
        <v>480</v>
      </c>
      <c r="C273" s="3"/>
      <c r="D273" s="3"/>
      <c r="E273" s="3"/>
      <c r="F273" s="3"/>
      <c r="G273" s="3"/>
      <c r="H273" s="3"/>
      <c r="I273" s="3"/>
    </row>
    <row r="274" s="10" customFormat="1">
      <c r="A274" s="3" t="s">
        <v>481</v>
      </c>
      <c r="B274" s="3" t="s">
        <v>480</v>
      </c>
      <c r="C274" s="3" t="s">
        <v>379</v>
      </c>
      <c r="D274" s="3" t="s">
        <v>357</v>
      </c>
      <c r="E274" s="3" t="s">
        <v>21</v>
      </c>
      <c r="F274" s="3" t="s">
        <v>22</v>
      </c>
      <c r="G274" s="3" t="s">
        <v>23</v>
      </c>
      <c r="H274" s="3" t="s">
        <v>24</v>
      </c>
      <c r="I274" s="3" t="s">
        <v>25</v>
      </c>
    </row>
    <row r="275" s="10" customFormat="1">
      <c r="A275" s="3" t="s">
        <v>482</v>
      </c>
      <c r="B275" s="3" t="s">
        <v>159</v>
      </c>
      <c r="C275" s="3"/>
      <c r="D275" s="3"/>
      <c r="E275" s="3"/>
      <c r="F275" s="3"/>
      <c r="G275" s="3"/>
      <c r="H275" s="3"/>
      <c r="I275" s="3"/>
    </row>
    <row r="276" s="10" customFormat="1">
      <c r="A276" s="3" t="s">
        <v>483</v>
      </c>
      <c r="B276" s="3" t="s">
        <v>159</v>
      </c>
      <c r="C276" s="3"/>
      <c r="D276" s="3"/>
      <c r="E276" s="3"/>
      <c r="F276" s="3"/>
      <c r="G276" s="3"/>
      <c r="H276" s="3"/>
      <c r="I276" s="3"/>
    </row>
    <row r="277" s="10" customFormat="1">
      <c r="A277" s="3" t="s">
        <v>484</v>
      </c>
      <c r="B277" s="3" t="s">
        <v>161</v>
      </c>
      <c r="C277" s="3" t="s">
        <v>379</v>
      </c>
      <c r="D277" s="3" t="s">
        <v>357</v>
      </c>
      <c r="E277" s="3" t="s">
        <v>415</v>
      </c>
      <c r="F277" s="3" t="s">
        <v>22</v>
      </c>
      <c r="G277" s="3" t="s">
        <v>23</v>
      </c>
      <c r="H277" s="3" t="s">
        <v>24</v>
      </c>
      <c r="I277" s="3" t="s">
        <v>25</v>
      </c>
    </row>
    <row r="278" s="10" customFormat="1">
      <c r="A278" s="3" t="s">
        <v>485</v>
      </c>
      <c r="B278" s="3" t="s">
        <v>486</v>
      </c>
      <c r="C278" s="3" t="s">
        <v>379</v>
      </c>
      <c r="D278" s="3" t="s">
        <v>357</v>
      </c>
      <c r="E278" s="3" t="s">
        <v>418</v>
      </c>
      <c r="F278" s="3" t="s">
        <v>22</v>
      </c>
      <c r="G278" s="3" t="s">
        <v>23</v>
      </c>
      <c r="H278" s="3" t="s">
        <v>24</v>
      </c>
      <c r="I278" s="3" t="s">
        <v>25</v>
      </c>
    </row>
    <row r="279" s="10" customFormat="1">
      <c r="A279" s="3" t="s">
        <v>487</v>
      </c>
      <c r="B279" s="3" t="s">
        <v>488</v>
      </c>
      <c r="C279" s="3"/>
      <c r="D279" s="3"/>
      <c r="E279" s="3"/>
      <c r="F279" s="3"/>
      <c r="G279" s="3"/>
      <c r="H279" s="3"/>
      <c r="I279" s="3"/>
    </row>
    <row r="280" s="10" customFormat="1">
      <c r="A280" s="3" t="s">
        <v>489</v>
      </c>
      <c r="B280" s="3" t="s">
        <v>159</v>
      </c>
      <c r="C280" s="3"/>
      <c r="D280" s="3"/>
      <c r="E280" s="3"/>
      <c r="F280" s="3"/>
      <c r="G280" s="3"/>
      <c r="H280" s="3"/>
      <c r="I280" s="3"/>
    </row>
    <row r="281" s="10" customFormat="1">
      <c r="A281" s="3" t="s">
        <v>490</v>
      </c>
      <c r="B281" s="3" t="s">
        <v>159</v>
      </c>
      <c r="C281" s="3" t="s">
        <v>379</v>
      </c>
      <c r="D281" s="3" t="s">
        <v>357</v>
      </c>
      <c r="E281" s="3" t="s">
        <v>21</v>
      </c>
      <c r="F281" s="3" t="s">
        <v>22</v>
      </c>
      <c r="G281" s="3" t="s">
        <v>23</v>
      </c>
      <c r="H281" s="3" t="s">
        <v>24</v>
      </c>
      <c r="I281" s="3" t="s">
        <v>25</v>
      </c>
    </row>
    <row r="282" s="10" customFormat="1">
      <c r="A282" s="3" t="s">
        <v>491</v>
      </c>
      <c r="B282" s="3" t="s">
        <v>165</v>
      </c>
      <c r="C282" s="3"/>
      <c r="D282" s="3"/>
      <c r="E282" s="3"/>
      <c r="F282" s="3"/>
      <c r="G282" s="3"/>
      <c r="H282" s="3"/>
      <c r="I282" s="3"/>
    </row>
    <row r="283" s="10" customFormat="1">
      <c r="A283" s="3" t="s">
        <v>492</v>
      </c>
      <c r="B283" s="3" t="s">
        <v>493</v>
      </c>
      <c r="C283" s="3"/>
      <c r="D283" s="3"/>
      <c r="E283" s="3"/>
      <c r="F283" s="3"/>
      <c r="G283" s="3"/>
      <c r="H283" s="3"/>
      <c r="I283" s="3"/>
    </row>
    <row r="284" s="10" customFormat="1">
      <c r="A284" s="3" t="s">
        <v>494</v>
      </c>
      <c r="B284" s="3" t="s">
        <v>495</v>
      </c>
      <c r="C284" s="3" t="s">
        <v>379</v>
      </c>
      <c r="D284" s="3" t="s">
        <v>357</v>
      </c>
      <c r="E284" s="3" t="s">
        <v>415</v>
      </c>
      <c r="F284" s="3" t="s">
        <v>22</v>
      </c>
      <c r="G284" s="3" t="s">
        <v>23</v>
      </c>
      <c r="H284" s="3" t="s">
        <v>24</v>
      </c>
      <c r="I284" s="3" t="s">
        <v>25</v>
      </c>
    </row>
    <row r="285" s="10" customFormat="1">
      <c r="A285" s="3" t="s">
        <v>496</v>
      </c>
      <c r="B285" s="3" t="s">
        <v>497</v>
      </c>
      <c r="C285" s="3" t="s">
        <v>379</v>
      </c>
      <c r="D285" s="3" t="s">
        <v>357</v>
      </c>
      <c r="E285" s="3" t="s">
        <v>418</v>
      </c>
      <c r="F285" s="3" t="s">
        <v>22</v>
      </c>
      <c r="G285" s="3" t="s">
        <v>23</v>
      </c>
      <c r="H285" s="3" t="s">
        <v>24</v>
      </c>
      <c r="I285" s="3" t="s">
        <v>25</v>
      </c>
    </row>
    <row r="286" s="10" customFormat="1">
      <c r="A286" s="3" t="s">
        <v>498</v>
      </c>
      <c r="B286" s="3" t="s">
        <v>499</v>
      </c>
      <c r="C286" s="3" t="s">
        <v>379</v>
      </c>
      <c r="D286" s="3" t="s">
        <v>357</v>
      </c>
      <c r="E286" s="3" t="s">
        <v>415</v>
      </c>
      <c r="F286" s="3" t="s">
        <v>22</v>
      </c>
      <c r="G286" s="3" t="s">
        <v>23</v>
      </c>
      <c r="H286" s="3" t="s">
        <v>24</v>
      </c>
      <c r="I286" s="3" t="s">
        <v>25</v>
      </c>
    </row>
    <row r="287" s="10" customFormat="1">
      <c r="A287" s="3" t="s">
        <v>500</v>
      </c>
      <c r="B287" s="3" t="s">
        <v>501</v>
      </c>
      <c r="C287" s="3" t="s">
        <v>379</v>
      </c>
      <c r="D287" s="3" t="s">
        <v>357</v>
      </c>
      <c r="E287" s="3" t="s">
        <v>418</v>
      </c>
      <c r="F287" s="3" t="s">
        <v>22</v>
      </c>
      <c r="G287" s="3" t="s">
        <v>23</v>
      </c>
      <c r="H287" s="3" t="s">
        <v>24</v>
      </c>
      <c r="I287" s="3" t="s">
        <v>25</v>
      </c>
    </row>
    <row r="288" s="10" customFormat="1">
      <c r="A288" s="3" t="s">
        <v>502</v>
      </c>
      <c r="B288" s="3" t="s">
        <v>503</v>
      </c>
      <c r="C288" s="3" t="s">
        <v>379</v>
      </c>
      <c r="D288" s="3" t="s">
        <v>357</v>
      </c>
      <c r="E288" s="3" t="s">
        <v>415</v>
      </c>
      <c r="F288" s="3" t="s">
        <v>22</v>
      </c>
      <c r="G288" s="3" t="s">
        <v>23</v>
      </c>
      <c r="H288" s="3" t="s">
        <v>24</v>
      </c>
      <c r="I288" s="3" t="s">
        <v>25</v>
      </c>
    </row>
    <row r="289" s="10" customFormat="1">
      <c r="A289" s="3" t="s">
        <v>504</v>
      </c>
      <c r="B289" s="3" t="s">
        <v>505</v>
      </c>
      <c r="C289" s="3" t="s">
        <v>379</v>
      </c>
      <c r="D289" s="3" t="s">
        <v>357</v>
      </c>
      <c r="E289" s="3" t="s">
        <v>418</v>
      </c>
      <c r="F289" s="3" t="s">
        <v>22</v>
      </c>
      <c r="G289" s="3" t="s">
        <v>23</v>
      </c>
      <c r="H289" s="3" t="s">
        <v>24</v>
      </c>
      <c r="I289" s="3" t="s">
        <v>25</v>
      </c>
    </row>
    <row r="290" s="10" customFormat="1">
      <c r="A290" s="3" t="s">
        <v>506</v>
      </c>
      <c r="B290" s="3" t="s">
        <v>507</v>
      </c>
      <c r="C290" s="3" t="s">
        <v>379</v>
      </c>
      <c r="D290" s="3" t="s">
        <v>357</v>
      </c>
      <c r="E290" s="3" t="s">
        <v>415</v>
      </c>
      <c r="F290" s="3" t="s">
        <v>22</v>
      </c>
      <c r="G290" s="3" t="s">
        <v>23</v>
      </c>
      <c r="H290" s="3" t="s">
        <v>24</v>
      </c>
      <c r="I290" s="3" t="s">
        <v>25</v>
      </c>
    </row>
    <row r="291" s="10" customFormat="1">
      <c r="A291" s="3" t="s">
        <v>508</v>
      </c>
      <c r="B291" s="3" t="s">
        <v>509</v>
      </c>
      <c r="C291" s="3" t="s">
        <v>379</v>
      </c>
      <c r="D291" s="3" t="s">
        <v>357</v>
      </c>
      <c r="E291" s="3" t="s">
        <v>418</v>
      </c>
      <c r="F291" s="3" t="s">
        <v>22</v>
      </c>
      <c r="G291" s="3" t="s">
        <v>23</v>
      </c>
      <c r="H291" s="3" t="s">
        <v>24</v>
      </c>
      <c r="I291" s="3" t="s">
        <v>25</v>
      </c>
    </row>
    <row r="292" s="10" customFormat="1">
      <c r="A292" s="3" t="s">
        <v>510</v>
      </c>
      <c r="B292" s="3" t="s">
        <v>511</v>
      </c>
      <c r="C292" s="3" t="s">
        <v>379</v>
      </c>
      <c r="D292" s="3" t="s">
        <v>357</v>
      </c>
      <c r="E292" s="3" t="s">
        <v>415</v>
      </c>
      <c r="F292" s="3" t="s">
        <v>22</v>
      </c>
      <c r="G292" s="3" t="s">
        <v>23</v>
      </c>
      <c r="H292" s="3" t="s">
        <v>24</v>
      </c>
      <c r="I292" s="3" t="s">
        <v>25</v>
      </c>
    </row>
    <row r="293" s="10" customFormat="1">
      <c r="A293" s="3" t="s">
        <v>512</v>
      </c>
      <c r="B293" s="3" t="s">
        <v>513</v>
      </c>
      <c r="C293" s="3" t="s">
        <v>379</v>
      </c>
      <c r="D293" s="3" t="s">
        <v>357</v>
      </c>
      <c r="E293" s="3" t="s">
        <v>418</v>
      </c>
      <c r="F293" s="3" t="s">
        <v>22</v>
      </c>
      <c r="G293" s="3" t="s">
        <v>23</v>
      </c>
      <c r="H293" s="3" t="s">
        <v>24</v>
      </c>
      <c r="I293" s="3" t="s">
        <v>25</v>
      </c>
    </row>
    <row r="294" s="10" customFormat="1">
      <c r="A294" s="3" t="s">
        <v>514</v>
      </c>
      <c r="B294" s="3" t="s">
        <v>515</v>
      </c>
      <c r="C294" s="3" t="s">
        <v>379</v>
      </c>
      <c r="D294" s="3" t="s">
        <v>357</v>
      </c>
      <c r="E294" s="3" t="s">
        <v>415</v>
      </c>
      <c r="F294" s="3" t="s">
        <v>22</v>
      </c>
      <c r="G294" s="3" t="s">
        <v>23</v>
      </c>
      <c r="H294" s="3" t="s">
        <v>24</v>
      </c>
      <c r="I294" s="3" t="s">
        <v>25</v>
      </c>
    </row>
    <row r="295" s="10" customFormat="1">
      <c r="A295" s="3" t="s">
        <v>516</v>
      </c>
      <c r="B295" s="3" t="s">
        <v>517</v>
      </c>
      <c r="C295" s="3" t="s">
        <v>379</v>
      </c>
      <c r="D295" s="3" t="s">
        <v>357</v>
      </c>
      <c r="E295" s="3" t="s">
        <v>418</v>
      </c>
      <c r="F295" s="3" t="s">
        <v>22</v>
      </c>
      <c r="G295" s="3" t="s">
        <v>23</v>
      </c>
      <c r="H295" s="3" t="s">
        <v>24</v>
      </c>
      <c r="I295" s="3" t="s">
        <v>25</v>
      </c>
    </row>
    <row r="296" s="10" customFormat="1">
      <c r="A296" s="3" t="s">
        <v>518</v>
      </c>
      <c r="B296" s="3" t="s">
        <v>519</v>
      </c>
      <c r="C296" s="3" t="s">
        <v>379</v>
      </c>
      <c r="D296" s="3" t="s">
        <v>357</v>
      </c>
      <c r="E296" s="3" t="s">
        <v>415</v>
      </c>
      <c r="F296" s="3" t="s">
        <v>22</v>
      </c>
      <c r="G296" s="3" t="s">
        <v>23</v>
      </c>
      <c r="H296" s="3" t="s">
        <v>24</v>
      </c>
      <c r="I296" s="3" t="s">
        <v>25</v>
      </c>
    </row>
    <row r="297" s="10" customFormat="1">
      <c r="A297" s="3" t="s">
        <v>520</v>
      </c>
      <c r="B297" s="3" t="s">
        <v>521</v>
      </c>
      <c r="C297" s="3" t="s">
        <v>379</v>
      </c>
      <c r="D297" s="3" t="s">
        <v>357</v>
      </c>
      <c r="E297" s="3" t="s">
        <v>418</v>
      </c>
      <c r="F297" s="3" t="s">
        <v>22</v>
      </c>
      <c r="G297" s="3" t="s">
        <v>23</v>
      </c>
      <c r="H297" s="3" t="s">
        <v>24</v>
      </c>
      <c r="I297" s="3" t="s">
        <v>25</v>
      </c>
    </row>
    <row r="298" s="10" customFormat="1">
      <c r="A298" s="3" t="s">
        <v>522</v>
      </c>
      <c r="B298" s="3" t="s">
        <v>523</v>
      </c>
      <c r="C298" s="3"/>
      <c r="D298" s="3"/>
      <c r="E298" s="3"/>
      <c r="F298" s="3"/>
      <c r="G298" s="3"/>
      <c r="H298" s="3"/>
      <c r="I298" s="3"/>
    </row>
    <row r="299" s="10" customFormat="1">
      <c r="A299" s="3" t="s">
        <v>524</v>
      </c>
      <c r="B299" s="3" t="s">
        <v>525</v>
      </c>
      <c r="C299" s="3"/>
      <c r="D299" s="3"/>
      <c r="E299" s="3"/>
      <c r="F299" s="3"/>
      <c r="G299" s="3"/>
      <c r="H299" s="3"/>
      <c r="I299" s="3"/>
    </row>
    <row r="300" s="10" customFormat="1">
      <c r="A300" s="3" t="s">
        <v>526</v>
      </c>
      <c r="B300" s="3" t="s">
        <v>525</v>
      </c>
      <c r="C300" s="3" t="s">
        <v>379</v>
      </c>
      <c r="D300" s="3" t="s">
        <v>357</v>
      </c>
      <c r="E300" s="3" t="s">
        <v>21</v>
      </c>
      <c r="F300" s="3" t="s">
        <v>22</v>
      </c>
      <c r="G300" s="3" t="s">
        <v>23</v>
      </c>
      <c r="H300" s="3" t="s">
        <v>24</v>
      </c>
      <c r="I300" s="3" t="s">
        <v>25</v>
      </c>
    </row>
    <row r="301" s="10" customFormat="1">
      <c r="A301" s="3" t="s">
        <v>527</v>
      </c>
      <c r="B301" s="3" t="s">
        <v>528</v>
      </c>
      <c r="C301" s="3"/>
      <c r="D301" s="3"/>
      <c r="E301" s="3"/>
      <c r="F301" s="3"/>
      <c r="G301" s="3"/>
      <c r="H301" s="3"/>
      <c r="I301" s="3"/>
    </row>
    <row r="302" s="10" customFormat="1">
      <c r="A302" s="3" t="s">
        <v>529</v>
      </c>
      <c r="B302" s="3" t="s">
        <v>530</v>
      </c>
      <c r="C302" s="3" t="s">
        <v>531</v>
      </c>
      <c r="D302" s="3" t="s">
        <v>357</v>
      </c>
      <c r="E302" s="3" t="s">
        <v>21</v>
      </c>
      <c r="F302" s="3" t="s">
        <v>22</v>
      </c>
      <c r="G302" s="3" t="s">
        <v>23</v>
      </c>
      <c r="H302" s="3" t="s">
        <v>24</v>
      </c>
      <c r="I302" s="3" t="s">
        <v>25</v>
      </c>
    </row>
    <row r="303" s="10" customFormat="1">
      <c r="A303" s="3" t="s">
        <v>532</v>
      </c>
      <c r="B303" s="3" t="s">
        <v>533</v>
      </c>
      <c r="C303" s="3"/>
      <c r="D303" s="3"/>
      <c r="E303" s="3"/>
      <c r="F303" s="3"/>
      <c r="G303" s="3"/>
      <c r="H303" s="3"/>
      <c r="I303" s="3"/>
    </row>
    <row r="304" s="10" customFormat="1">
      <c r="A304" s="3" t="s">
        <v>534</v>
      </c>
      <c r="B304" s="3" t="s">
        <v>533</v>
      </c>
      <c r="C304" s="3" t="s">
        <v>379</v>
      </c>
      <c r="D304" s="3" t="s">
        <v>357</v>
      </c>
      <c r="E304" s="3" t="s">
        <v>21</v>
      </c>
      <c r="F304" s="3" t="s">
        <v>22</v>
      </c>
      <c r="G304" s="3" t="s">
        <v>23</v>
      </c>
      <c r="H304" s="3" t="s">
        <v>24</v>
      </c>
      <c r="I304" s="3" t="s">
        <v>25</v>
      </c>
    </row>
    <row r="305" s="10" customFormat="1">
      <c r="A305" s="3" t="s">
        <v>535</v>
      </c>
      <c r="B305" s="3" t="s">
        <v>536</v>
      </c>
      <c r="C305" s="3" t="s">
        <v>379</v>
      </c>
      <c r="D305" s="3" t="s">
        <v>357</v>
      </c>
      <c r="E305" s="3" t="s">
        <v>21</v>
      </c>
      <c r="F305" s="3" t="s">
        <v>22</v>
      </c>
      <c r="G305" s="3" t="s">
        <v>23</v>
      </c>
      <c r="H305" s="3" t="s">
        <v>24</v>
      </c>
      <c r="I305" s="3" t="s">
        <v>25</v>
      </c>
    </row>
    <row r="306" s="10" customFormat="1">
      <c r="A306" s="3" t="s">
        <v>537</v>
      </c>
      <c r="B306" s="3" t="s">
        <v>538</v>
      </c>
      <c r="C306" s="3" t="s">
        <v>379</v>
      </c>
      <c r="D306" s="3" t="s">
        <v>357</v>
      </c>
      <c r="E306" s="3" t="s">
        <v>21</v>
      </c>
      <c r="F306" s="3" t="s">
        <v>22</v>
      </c>
      <c r="G306" s="3" t="s">
        <v>23</v>
      </c>
      <c r="H306" s="3" t="s">
        <v>24</v>
      </c>
      <c r="I306" s="3" t="s">
        <v>25</v>
      </c>
    </row>
    <row r="307" s="10" customFormat="1">
      <c r="A307" s="3" t="s">
        <v>539</v>
      </c>
      <c r="B307" s="3" t="s">
        <v>540</v>
      </c>
      <c r="C307" s="3"/>
      <c r="D307" s="3"/>
      <c r="E307" s="3"/>
      <c r="F307" s="3"/>
      <c r="G307" s="3"/>
      <c r="H307" s="3"/>
      <c r="I307" s="3"/>
    </row>
    <row r="308" s="10" customFormat="1">
      <c r="A308" s="3" t="s">
        <v>541</v>
      </c>
      <c r="B308" s="3" t="s">
        <v>540</v>
      </c>
      <c r="C308" s="3" t="s">
        <v>379</v>
      </c>
      <c r="D308" s="3" t="s">
        <v>357</v>
      </c>
      <c r="E308" s="3" t="s">
        <v>21</v>
      </c>
      <c r="F308" s="3" t="s">
        <v>22</v>
      </c>
      <c r="G308" s="3" t="s">
        <v>23</v>
      </c>
      <c r="H308" s="3" t="s">
        <v>24</v>
      </c>
      <c r="I308" s="3" t="s">
        <v>25</v>
      </c>
    </row>
    <row r="309" s="10" customFormat="1">
      <c r="A309" s="3" t="s">
        <v>542</v>
      </c>
      <c r="B309" s="3" t="s">
        <v>543</v>
      </c>
      <c r="C309" s="3"/>
      <c r="D309" s="3"/>
      <c r="E309" s="3"/>
      <c r="F309" s="3"/>
      <c r="G309" s="3"/>
      <c r="H309" s="3"/>
      <c r="I309" s="3"/>
    </row>
    <row r="310" s="10" customFormat="1">
      <c r="A310" s="3" t="s">
        <v>544</v>
      </c>
      <c r="B310" s="3" t="s">
        <v>543</v>
      </c>
      <c r="C310" s="3" t="s">
        <v>379</v>
      </c>
      <c r="D310" s="3" t="s">
        <v>357</v>
      </c>
      <c r="E310" s="3" t="s">
        <v>21</v>
      </c>
      <c r="F310" s="3" t="s">
        <v>22</v>
      </c>
      <c r="G310" s="3" t="s">
        <v>23</v>
      </c>
      <c r="H310" s="3" t="s">
        <v>24</v>
      </c>
      <c r="I310" s="3" t="s">
        <v>25</v>
      </c>
    </row>
    <row r="311" s="10" customFormat="1">
      <c r="A311" s="3" t="s">
        <v>545</v>
      </c>
      <c r="B311" s="3" t="s">
        <v>546</v>
      </c>
      <c r="C311" s="3"/>
      <c r="D311" s="3"/>
      <c r="E311" s="3"/>
      <c r="F311" s="3"/>
      <c r="G311" s="3"/>
      <c r="H311" s="3"/>
      <c r="I311" s="3"/>
    </row>
    <row r="312" s="10" customFormat="1">
      <c r="A312" s="3" t="s">
        <v>547</v>
      </c>
      <c r="B312" s="3" t="s">
        <v>546</v>
      </c>
      <c r="C312" s="3" t="s">
        <v>379</v>
      </c>
      <c r="D312" s="3" t="s">
        <v>357</v>
      </c>
      <c r="E312" s="3" t="s">
        <v>21</v>
      </c>
      <c r="F312" s="3" t="s">
        <v>22</v>
      </c>
      <c r="G312" s="3" t="s">
        <v>23</v>
      </c>
      <c r="H312" s="3" t="s">
        <v>24</v>
      </c>
      <c r="I312" s="3" t="s">
        <v>25</v>
      </c>
    </row>
    <row r="313" s="10" customFormat="1">
      <c r="A313" s="3" t="s">
        <v>548</v>
      </c>
      <c r="B313" s="3" t="s">
        <v>549</v>
      </c>
      <c r="C313" s="3"/>
      <c r="D313" s="3"/>
      <c r="E313" s="3"/>
      <c r="F313" s="3"/>
      <c r="G313" s="3"/>
      <c r="H313" s="3"/>
      <c r="I313" s="3"/>
    </row>
    <row r="314" s="10" customFormat="1">
      <c r="A314" s="3" t="s">
        <v>550</v>
      </c>
      <c r="B314" s="3" t="s">
        <v>549</v>
      </c>
      <c r="C314" s="3" t="s">
        <v>379</v>
      </c>
      <c r="D314" s="3" t="s">
        <v>357</v>
      </c>
      <c r="E314" s="3" t="s">
        <v>21</v>
      </c>
      <c r="F314" s="3" t="s">
        <v>22</v>
      </c>
      <c r="G314" s="3" t="s">
        <v>23</v>
      </c>
      <c r="H314" s="3" t="s">
        <v>24</v>
      </c>
      <c r="I314" s="3" t="s">
        <v>25</v>
      </c>
    </row>
    <row r="315" s="10" customFormat="1">
      <c r="A315" s="3" t="s">
        <v>551</v>
      </c>
      <c r="B315" s="3" t="s">
        <v>552</v>
      </c>
      <c r="C315" s="3"/>
      <c r="D315" s="3"/>
      <c r="E315" s="3"/>
      <c r="F315" s="3"/>
      <c r="G315" s="3"/>
      <c r="H315" s="3"/>
      <c r="I315" s="3"/>
    </row>
    <row r="316" s="10" customFormat="1">
      <c r="A316" s="3" t="s">
        <v>553</v>
      </c>
      <c r="B316" s="3" t="s">
        <v>552</v>
      </c>
      <c r="C316" s="3" t="s">
        <v>379</v>
      </c>
      <c r="D316" s="3" t="s">
        <v>357</v>
      </c>
      <c r="E316" s="3" t="s">
        <v>21</v>
      </c>
      <c r="F316" s="3" t="s">
        <v>22</v>
      </c>
      <c r="G316" s="3" t="s">
        <v>23</v>
      </c>
      <c r="H316" s="3" t="s">
        <v>24</v>
      </c>
      <c r="I316" s="3" t="s">
        <v>25</v>
      </c>
    </row>
    <row r="317" s="10" customFormat="1">
      <c r="A317" s="3" t="s">
        <v>554</v>
      </c>
      <c r="B317" s="3" t="s">
        <v>555</v>
      </c>
      <c r="C317" s="3"/>
      <c r="D317" s="3"/>
      <c r="E317" s="3"/>
      <c r="F317" s="3"/>
      <c r="G317" s="3"/>
      <c r="H317" s="3"/>
      <c r="I317" s="3"/>
    </row>
    <row r="318" s="10" customFormat="1">
      <c r="A318" s="3" t="s">
        <v>556</v>
      </c>
      <c r="B318" s="3" t="s">
        <v>555</v>
      </c>
      <c r="C318" s="3" t="s">
        <v>379</v>
      </c>
      <c r="D318" s="3" t="s">
        <v>357</v>
      </c>
      <c r="E318" s="3" t="s">
        <v>21</v>
      </c>
      <c r="F318" s="3" t="s">
        <v>22</v>
      </c>
      <c r="G318" s="3" t="s">
        <v>23</v>
      </c>
      <c r="H318" s="3" t="s">
        <v>24</v>
      </c>
      <c r="I318" s="3" t="s">
        <v>25</v>
      </c>
    </row>
    <row r="319" s="10" customFormat="1">
      <c r="A319" s="3" t="s">
        <v>557</v>
      </c>
      <c r="B319" s="3" t="s">
        <v>558</v>
      </c>
      <c r="C319" s="3"/>
      <c r="D319" s="3"/>
      <c r="E319" s="3"/>
      <c r="F319" s="3"/>
      <c r="G319" s="3"/>
      <c r="H319" s="3"/>
      <c r="I319" s="3"/>
    </row>
    <row r="320" s="10" customFormat="1">
      <c r="A320" s="3" t="s">
        <v>559</v>
      </c>
      <c r="B320" s="3" t="s">
        <v>560</v>
      </c>
      <c r="C320" s="3"/>
      <c r="D320" s="3"/>
      <c r="E320" s="3"/>
      <c r="F320" s="3"/>
      <c r="G320" s="3"/>
      <c r="H320" s="3"/>
      <c r="I320" s="3"/>
    </row>
    <row r="321" s="10" customFormat="1">
      <c r="A321" s="3" t="s">
        <v>561</v>
      </c>
      <c r="B321" s="3" t="s">
        <v>560</v>
      </c>
      <c r="C321" s="3" t="s">
        <v>379</v>
      </c>
      <c r="D321" s="3" t="s">
        <v>357</v>
      </c>
      <c r="E321" s="3" t="s">
        <v>21</v>
      </c>
      <c r="F321" s="3" t="s">
        <v>22</v>
      </c>
      <c r="G321" s="3" t="s">
        <v>23</v>
      </c>
      <c r="H321" s="3" t="s">
        <v>24</v>
      </c>
      <c r="I321" s="3" t="s">
        <v>25</v>
      </c>
    </row>
    <row r="322" s="10" customFormat="1">
      <c r="A322" s="3" t="s">
        <v>562</v>
      </c>
      <c r="B322" s="3" t="s">
        <v>108</v>
      </c>
      <c r="C322" s="3"/>
      <c r="D322" s="3"/>
      <c r="E322" s="3"/>
      <c r="F322" s="3"/>
      <c r="G322" s="3"/>
      <c r="H322" s="3"/>
      <c r="I322" s="3"/>
    </row>
    <row r="323" s="10" customFormat="1">
      <c r="A323" s="3" t="s">
        <v>563</v>
      </c>
      <c r="B323" s="3" t="s">
        <v>108</v>
      </c>
      <c r="C323" s="3" t="s">
        <v>379</v>
      </c>
      <c r="D323" s="3" t="s">
        <v>357</v>
      </c>
      <c r="E323" s="3" t="s">
        <v>21</v>
      </c>
      <c r="F323" s="3" t="s">
        <v>22</v>
      </c>
      <c r="G323" s="3" t="s">
        <v>23</v>
      </c>
      <c r="H323" s="3" t="s">
        <v>24</v>
      </c>
      <c r="I323" s="3" t="s">
        <v>25</v>
      </c>
    </row>
    <row r="324" s="10" customFormat="1">
      <c r="A324" s="3" t="s">
        <v>564</v>
      </c>
      <c r="B324" s="3" t="s">
        <v>565</v>
      </c>
      <c r="C324" s="3"/>
      <c r="D324" s="3"/>
      <c r="E324" s="3"/>
      <c r="F324" s="3"/>
      <c r="G324" s="3"/>
      <c r="H324" s="3"/>
      <c r="I324" s="3"/>
    </row>
    <row r="325" s="10" customFormat="1">
      <c r="A325" s="3" t="s">
        <v>566</v>
      </c>
      <c r="B325" s="3" t="s">
        <v>567</v>
      </c>
      <c r="C325" s="3"/>
      <c r="D325" s="3"/>
      <c r="E325" s="3"/>
      <c r="F325" s="3"/>
      <c r="G325" s="3"/>
      <c r="H325" s="3"/>
      <c r="I325" s="3"/>
    </row>
    <row r="326" s="10" customFormat="1">
      <c r="A326" s="3" t="s">
        <v>568</v>
      </c>
      <c r="B326" s="3" t="s">
        <v>569</v>
      </c>
      <c r="C326" s="3"/>
      <c r="D326" s="3"/>
      <c r="E326" s="3"/>
      <c r="F326" s="3"/>
      <c r="G326" s="3"/>
      <c r="H326" s="3"/>
      <c r="I326" s="3"/>
    </row>
    <row r="327" s="10" customFormat="1">
      <c r="A327" s="3" t="s">
        <v>570</v>
      </c>
      <c r="B327" s="3" t="s">
        <v>569</v>
      </c>
      <c r="C327" s="3" t="s">
        <v>366</v>
      </c>
      <c r="D327" s="3" t="s">
        <v>357</v>
      </c>
      <c r="E327" s="3" t="s">
        <v>21</v>
      </c>
      <c r="F327" s="3" t="s">
        <v>22</v>
      </c>
      <c r="G327" s="3" t="s">
        <v>23</v>
      </c>
      <c r="H327" s="3" t="s">
        <v>24</v>
      </c>
      <c r="I327" s="3" t="s">
        <v>25</v>
      </c>
    </row>
    <row r="328" s="10" customFormat="1">
      <c r="A328" s="3" t="s">
        <v>571</v>
      </c>
      <c r="B328" s="3" t="s">
        <v>572</v>
      </c>
      <c r="C328" s="3"/>
      <c r="D328" s="3"/>
      <c r="E328" s="3"/>
      <c r="F328" s="3"/>
      <c r="G328" s="3"/>
      <c r="H328" s="3"/>
      <c r="I328" s="3"/>
    </row>
    <row r="329" s="10" customFormat="1">
      <c r="A329" s="3" t="s">
        <v>573</v>
      </c>
      <c r="B329" s="3" t="s">
        <v>574</v>
      </c>
      <c r="C329" s="3"/>
      <c r="D329" s="3"/>
      <c r="E329" s="3"/>
      <c r="F329" s="3"/>
      <c r="G329" s="3"/>
      <c r="H329" s="3"/>
      <c r="I329" s="3"/>
    </row>
    <row r="330" s="10" customFormat="1">
      <c r="A330" s="3" t="s">
        <v>575</v>
      </c>
      <c r="B330" s="3" t="s">
        <v>576</v>
      </c>
      <c r="C330" s="3" t="s">
        <v>366</v>
      </c>
      <c r="D330" s="3" t="s">
        <v>357</v>
      </c>
      <c r="E330" s="3" t="s">
        <v>122</v>
      </c>
      <c r="F330" s="3" t="s">
        <v>22</v>
      </c>
      <c r="G330" s="3" t="s">
        <v>23</v>
      </c>
      <c r="H330" s="3" t="s">
        <v>24</v>
      </c>
      <c r="I330" s="3" t="s">
        <v>25</v>
      </c>
    </row>
    <row r="331" s="10" customFormat="1">
      <c r="A331" s="3" t="s">
        <v>577</v>
      </c>
      <c r="B331" s="3" t="s">
        <v>578</v>
      </c>
      <c r="C331" s="3" t="s">
        <v>366</v>
      </c>
      <c r="D331" s="3" t="s">
        <v>357</v>
      </c>
      <c r="E331" s="3" t="s">
        <v>122</v>
      </c>
      <c r="F331" s="3" t="s">
        <v>22</v>
      </c>
      <c r="G331" s="3" t="s">
        <v>23</v>
      </c>
      <c r="H331" s="3" t="s">
        <v>24</v>
      </c>
      <c r="I331" s="3" t="s">
        <v>25</v>
      </c>
    </row>
    <row r="332" s="10" customFormat="1">
      <c r="A332" s="3" t="s">
        <v>579</v>
      </c>
      <c r="B332" s="3" t="s">
        <v>580</v>
      </c>
      <c r="C332" s="3"/>
      <c r="D332" s="3"/>
      <c r="E332" s="3"/>
      <c r="F332" s="3"/>
      <c r="G332" s="3"/>
      <c r="H332" s="3"/>
      <c r="I332" s="3"/>
    </row>
    <row r="333" s="10" customFormat="1">
      <c r="A333" s="3" t="s">
        <v>581</v>
      </c>
      <c r="B333" s="3" t="s">
        <v>582</v>
      </c>
      <c r="C333" s="3" t="s">
        <v>366</v>
      </c>
      <c r="D333" s="3" t="s">
        <v>357</v>
      </c>
      <c r="E333" s="3" t="s">
        <v>415</v>
      </c>
      <c r="F333" s="3" t="s">
        <v>22</v>
      </c>
      <c r="G333" s="3" t="s">
        <v>23</v>
      </c>
      <c r="H333" s="3" t="s">
        <v>24</v>
      </c>
      <c r="I333" s="3" t="s">
        <v>25</v>
      </c>
    </row>
    <row r="334" s="10" customFormat="1">
      <c r="A334" s="3" t="s">
        <v>583</v>
      </c>
      <c r="B334" s="3" t="s">
        <v>584</v>
      </c>
      <c r="C334" s="3" t="s">
        <v>366</v>
      </c>
      <c r="D334" s="3" t="s">
        <v>357</v>
      </c>
      <c r="E334" s="3" t="s">
        <v>418</v>
      </c>
      <c r="F334" s="3" t="s">
        <v>22</v>
      </c>
      <c r="G334" s="3" t="s">
        <v>23</v>
      </c>
      <c r="H334" s="3" t="s">
        <v>24</v>
      </c>
      <c r="I334" s="3" t="s">
        <v>25</v>
      </c>
    </row>
    <row r="335" s="10" customFormat="1">
      <c r="A335" s="3" t="s">
        <v>585</v>
      </c>
      <c r="B335" s="3" t="s">
        <v>586</v>
      </c>
      <c r="C335" s="3" t="s">
        <v>366</v>
      </c>
      <c r="D335" s="3" t="s">
        <v>357</v>
      </c>
      <c r="E335" s="3" t="s">
        <v>415</v>
      </c>
      <c r="F335" s="3" t="s">
        <v>22</v>
      </c>
      <c r="G335" s="3" t="s">
        <v>23</v>
      </c>
      <c r="H335" s="3" t="s">
        <v>24</v>
      </c>
      <c r="I335" s="3" t="s">
        <v>25</v>
      </c>
    </row>
    <row r="336" s="10" customFormat="1">
      <c r="A336" s="3" t="s">
        <v>587</v>
      </c>
      <c r="B336" s="3" t="s">
        <v>588</v>
      </c>
      <c r="C336" s="3" t="s">
        <v>366</v>
      </c>
      <c r="D336" s="3" t="s">
        <v>357</v>
      </c>
      <c r="E336" s="3" t="s">
        <v>418</v>
      </c>
      <c r="F336" s="3" t="s">
        <v>22</v>
      </c>
      <c r="G336" s="3" t="s">
        <v>23</v>
      </c>
      <c r="H336" s="3" t="s">
        <v>24</v>
      </c>
      <c r="I336" s="3" t="s">
        <v>25</v>
      </c>
    </row>
    <row r="337" s="10" customFormat="1">
      <c r="A337" s="3" t="s">
        <v>589</v>
      </c>
      <c r="B337" s="3" t="s">
        <v>590</v>
      </c>
      <c r="C337" s="3"/>
      <c r="D337" s="3"/>
      <c r="E337" s="3"/>
      <c r="F337" s="3"/>
      <c r="G337" s="3"/>
      <c r="H337" s="3"/>
      <c r="I337" s="3"/>
    </row>
    <row r="338" s="10" customFormat="1">
      <c r="A338" s="3" t="s">
        <v>591</v>
      </c>
      <c r="B338" s="3" t="s">
        <v>592</v>
      </c>
      <c r="C338" s="3" t="s">
        <v>366</v>
      </c>
      <c r="D338" s="3" t="s">
        <v>357</v>
      </c>
      <c r="E338" s="3" t="s">
        <v>415</v>
      </c>
      <c r="F338" s="3" t="s">
        <v>22</v>
      </c>
      <c r="G338" s="3" t="s">
        <v>23</v>
      </c>
      <c r="H338" s="3" t="s">
        <v>24</v>
      </c>
      <c r="I338" s="3" t="s">
        <v>25</v>
      </c>
    </row>
    <row r="339" s="10" customFormat="1">
      <c r="A339" s="3" t="s">
        <v>593</v>
      </c>
      <c r="B339" s="3" t="s">
        <v>594</v>
      </c>
      <c r="C339" s="3"/>
      <c r="D339" s="3"/>
      <c r="E339" s="3"/>
      <c r="F339" s="3"/>
      <c r="G339" s="3"/>
      <c r="H339" s="3"/>
      <c r="I339" s="3"/>
    </row>
    <row r="340" s="10" customFormat="1">
      <c r="A340" s="3" t="s">
        <v>595</v>
      </c>
      <c r="B340" s="3" t="s">
        <v>596</v>
      </c>
      <c r="C340" s="3" t="s">
        <v>366</v>
      </c>
      <c r="D340" s="3" t="s">
        <v>357</v>
      </c>
      <c r="E340" s="3" t="s">
        <v>125</v>
      </c>
      <c r="F340" s="3" t="s">
        <v>22</v>
      </c>
      <c r="G340" s="3" t="s">
        <v>23</v>
      </c>
      <c r="H340" s="3" t="s">
        <v>24</v>
      </c>
      <c r="I340" s="3" t="s">
        <v>25</v>
      </c>
    </row>
    <row r="341" s="10" customFormat="1">
      <c r="A341" s="3" t="s">
        <v>597</v>
      </c>
      <c r="B341" s="3" t="s">
        <v>598</v>
      </c>
      <c r="C341" s="3" t="s">
        <v>366</v>
      </c>
      <c r="D341" s="3" t="s">
        <v>357</v>
      </c>
      <c r="E341" s="3" t="s">
        <v>125</v>
      </c>
      <c r="F341" s="3" t="s">
        <v>22</v>
      </c>
      <c r="G341" s="3" t="s">
        <v>23</v>
      </c>
      <c r="H341" s="3" t="s">
        <v>24</v>
      </c>
      <c r="I341" s="3" t="s">
        <v>25</v>
      </c>
    </row>
    <row r="342" s="10" customFormat="1">
      <c r="A342" s="3" t="s">
        <v>599</v>
      </c>
      <c r="B342" s="3" t="s">
        <v>600</v>
      </c>
      <c r="C342" s="3"/>
      <c r="D342" s="3"/>
      <c r="E342" s="3"/>
      <c r="F342" s="3"/>
      <c r="G342" s="3"/>
      <c r="H342" s="3"/>
      <c r="I342" s="3"/>
    </row>
    <row r="343" s="10" customFormat="1">
      <c r="A343" s="3" t="s">
        <v>601</v>
      </c>
      <c r="B343" s="3" t="s">
        <v>600</v>
      </c>
      <c r="C343" s="3" t="s">
        <v>366</v>
      </c>
      <c r="D343" s="3" t="s">
        <v>357</v>
      </c>
      <c r="E343" s="3" t="s">
        <v>21</v>
      </c>
      <c r="F343" s="3" t="s">
        <v>22</v>
      </c>
      <c r="G343" s="3" t="s">
        <v>23</v>
      </c>
      <c r="H343" s="3" t="s">
        <v>24</v>
      </c>
      <c r="I343" s="3" t="s">
        <v>25</v>
      </c>
    </row>
    <row r="344" s="10" customFormat="1">
      <c r="A344" s="3" t="s">
        <v>602</v>
      </c>
      <c r="B344" s="3" t="s">
        <v>603</v>
      </c>
      <c r="C344" s="3" t="s">
        <v>405</v>
      </c>
      <c r="D344" s="3" t="s">
        <v>357</v>
      </c>
      <c r="E344" s="3" t="s">
        <v>21</v>
      </c>
      <c r="F344" s="3" t="s">
        <v>95</v>
      </c>
      <c r="G344" s="3" t="s">
        <v>23</v>
      </c>
      <c r="H344" s="3" t="s">
        <v>24</v>
      </c>
      <c r="I344" s="3" t="s">
        <v>25</v>
      </c>
    </row>
    <row r="345" s="10" customFormat="1">
      <c r="A345" s="3" t="s">
        <v>604</v>
      </c>
      <c r="B345" s="3" t="s">
        <v>605</v>
      </c>
      <c r="C345" s="3"/>
      <c r="D345" s="3"/>
      <c r="E345" s="3"/>
      <c r="F345" s="3"/>
      <c r="G345" s="3"/>
      <c r="H345" s="3"/>
      <c r="I345" s="3"/>
    </row>
    <row r="346" s="10" customFormat="1">
      <c r="A346" s="3" t="s">
        <v>606</v>
      </c>
      <c r="B346" s="3" t="s">
        <v>607</v>
      </c>
      <c r="C346" s="3" t="s">
        <v>80</v>
      </c>
      <c r="D346" s="3" t="s">
        <v>357</v>
      </c>
      <c r="E346" s="3" t="s">
        <v>122</v>
      </c>
      <c r="F346" s="3" t="s">
        <v>22</v>
      </c>
      <c r="G346" s="3" t="s">
        <v>23</v>
      </c>
      <c r="H346" s="3" t="s">
        <v>24</v>
      </c>
      <c r="I346" s="3" t="s">
        <v>25</v>
      </c>
    </row>
    <row r="347" s="10" customFormat="1">
      <c r="A347" s="3" t="s">
        <v>608</v>
      </c>
      <c r="B347" s="3" t="s">
        <v>609</v>
      </c>
      <c r="C347" s="3" t="s">
        <v>366</v>
      </c>
      <c r="D347" s="3" t="s">
        <v>357</v>
      </c>
      <c r="E347" s="3" t="s">
        <v>125</v>
      </c>
      <c r="F347" s="3" t="s">
        <v>22</v>
      </c>
      <c r="G347" s="3" t="s">
        <v>23</v>
      </c>
      <c r="H347" s="3" t="s">
        <v>24</v>
      </c>
      <c r="I347" s="3" t="s">
        <v>25</v>
      </c>
    </row>
    <row r="348" s="10" customFormat="1">
      <c r="A348" s="3" t="s">
        <v>610</v>
      </c>
      <c r="B348" s="3" t="s">
        <v>611</v>
      </c>
      <c r="C348" s="3" t="s">
        <v>80</v>
      </c>
      <c r="D348" s="3" t="s">
        <v>357</v>
      </c>
      <c r="E348" s="3" t="s">
        <v>415</v>
      </c>
      <c r="F348" s="3" t="s">
        <v>22</v>
      </c>
      <c r="G348" s="3" t="s">
        <v>23</v>
      </c>
      <c r="H348" s="3" t="s">
        <v>24</v>
      </c>
      <c r="I348" s="3" t="s">
        <v>25</v>
      </c>
    </row>
    <row r="349" s="10" customFormat="1">
      <c r="A349" s="3" t="s">
        <v>612</v>
      </c>
      <c r="B349" s="3" t="s">
        <v>613</v>
      </c>
      <c r="C349" s="3" t="s">
        <v>366</v>
      </c>
      <c r="D349" s="3" t="s">
        <v>357</v>
      </c>
      <c r="E349" s="3" t="s">
        <v>418</v>
      </c>
      <c r="F349" s="3" t="s">
        <v>22</v>
      </c>
      <c r="G349" s="3" t="s">
        <v>23</v>
      </c>
      <c r="H349" s="3" t="s">
        <v>24</v>
      </c>
      <c r="I349" s="3" t="s">
        <v>25</v>
      </c>
    </row>
    <row r="350" s="10" customFormat="1">
      <c r="A350" s="3" t="s">
        <v>614</v>
      </c>
      <c r="B350" s="3" t="s">
        <v>108</v>
      </c>
      <c r="C350" s="3"/>
      <c r="D350" s="3"/>
      <c r="E350" s="3"/>
      <c r="F350" s="3"/>
      <c r="G350" s="3"/>
      <c r="H350" s="3"/>
      <c r="I350" s="3"/>
    </row>
    <row r="351" s="10" customFormat="1">
      <c r="A351" s="3" t="s">
        <v>615</v>
      </c>
      <c r="B351" s="3" t="s">
        <v>616</v>
      </c>
      <c r="C351" s="3"/>
      <c r="D351" s="3"/>
      <c r="E351" s="3"/>
      <c r="F351" s="3"/>
      <c r="G351" s="3"/>
      <c r="H351" s="3"/>
      <c r="I351" s="3"/>
    </row>
    <row r="352" s="10" customFormat="1">
      <c r="A352" s="3" t="s">
        <v>617</v>
      </c>
      <c r="B352" s="3" t="s">
        <v>618</v>
      </c>
      <c r="C352" s="3" t="s">
        <v>80</v>
      </c>
      <c r="D352" s="3" t="s">
        <v>357</v>
      </c>
      <c r="E352" s="3" t="s">
        <v>122</v>
      </c>
      <c r="F352" s="3" t="s">
        <v>22</v>
      </c>
      <c r="G352" s="3" t="s">
        <v>23</v>
      </c>
      <c r="H352" s="3" t="s">
        <v>24</v>
      </c>
      <c r="I352" s="3" t="s">
        <v>25</v>
      </c>
    </row>
    <row r="353" s="10" customFormat="1">
      <c r="A353" s="3" t="s">
        <v>619</v>
      </c>
      <c r="B353" s="3" t="s">
        <v>620</v>
      </c>
      <c r="C353" s="3" t="s">
        <v>366</v>
      </c>
      <c r="D353" s="3" t="s">
        <v>357</v>
      </c>
      <c r="E353" s="3" t="s">
        <v>125</v>
      </c>
      <c r="F353" s="3" t="s">
        <v>22</v>
      </c>
      <c r="G353" s="3" t="s">
        <v>23</v>
      </c>
      <c r="H353" s="3" t="s">
        <v>24</v>
      </c>
      <c r="I353" s="3" t="s">
        <v>25</v>
      </c>
    </row>
    <row r="354" s="10" customFormat="1">
      <c r="A354" s="3" t="s">
        <v>621</v>
      </c>
      <c r="B354" s="3" t="s">
        <v>622</v>
      </c>
      <c r="C354" s="3" t="s">
        <v>80</v>
      </c>
      <c r="D354" s="3" t="s">
        <v>357</v>
      </c>
      <c r="E354" s="3" t="s">
        <v>415</v>
      </c>
      <c r="F354" s="3" t="s">
        <v>22</v>
      </c>
      <c r="G354" s="3" t="s">
        <v>23</v>
      </c>
      <c r="H354" s="3" t="s">
        <v>24</v>
      </c>
      <c r="I354" s="3" t="s">
        <v>25</v>
      </c>
    </row>
    <row r="355" s="10" customFormat="1">
      <c r="A355" s="3" t="s">
        <v>623</v>
      </c>
      <c r="B355" s="3" t="s">
        <v>624</v>
      </c>
      <c r="C355" s="3" t="s">
        <v>366</v>
      </c>
      <c r="D355" s="3" t="s">
        <v>357</v>
      </c>
      <c r="E355" s="3" t="s">
        <v>418</v>
      </c>
      <c r="F355" s="3" t="s">
        <v>22</v>
      </c>
      <c r="G355" s="3" t="s">
        <v>23</v>
      </c>
      <c r="H355" s="3" t="s">
        <v>24</v>
      </c>
      <c r="I355" s="3" t="s">
        <v>25</v>
      </c>
    </row>
    <row r="356" s="10" customFormat="1">
      <c r="A356" s="3" t="s">
        <v>625</v>
      </c>
      <c r="B356" s="3" t="s">
        <v>202</v>
      </c>
      <c r="C356" s="3" t="s">
        <v>405</v>
      </c>
      <c r="D356" s="3" t="s">
        <v>357</v>
      </c>
      <c r="E356" s="3" t="s">
        <v>21</v>
      </c>
      <c r="F356" s="3" t="s">
        <v>95</v>
      </c>
      <c r="G356" s="3" t="s">
        <v>23</v>
      </c>
      <c r="H356" s="3" t="s">
        <v>24</v>
      </c>
      <c r="I356" s="3" t="s">
        <v>25</v>
      </c>
    </row>
    <row r="357" s="10" customFormat="1">
      <c r="A357" s="3" t="s">
        <v>626</v>
      </c>
      <c r="B357" s="3" t="s">
        <v>627</v>
      </c>
      <c r="C357" s="3"/>
      <c r="D357" s="3"/>
      <c r="E357" s="3"/>
      <c r="F357" s="3"/>
      <c r="G357" s="3"/>
      <c r="H357" s="3"/>
      <c r="I357" s="3"/>
    </row>
    <row r="358" s="10" customFormat="1">
      <c r="A358" s="3" t="s">
        <v>628</v>
      </c>
      <c r="B358" s="3" t="s">
        <v>629</v>
      </c>
      <c r="C358" s="3"/>
      <c r="D358" s="3"/>
      <c r="E358" s="3"/>
      <c r="F358" s="3"/>
      <c r="G358" s="3"/>
      <c r="H358" s="3"/>
      <c r="I358" s="3"/>
    </row>
    <row r="359" s="10" customFormat="1">
      <c r="A359" s="3" t="s">
        <v>630</v>
      </c>
      <c r="B359" s="3" t="s">
        <v>629</v>
      </c>
      <c r="C359" s="3"/>
      <c r="D359" s="3"/>
      <c r="E359" s="3"/>
      <c r="F359" s="3"/>
      <c r="G359" s="3"/>
      <c r="H359" s="3"/>
      <c r="I359" s="3"/>
    </row>
    <row r="360" s="10" customFormat="1">
      <c r="A360" s="3" t="s">
        <v>631</v>
      </c>
      <c r="B360" s="3" t="s">
        <v>629</v>
      </c>
      <c r="C360" s="3" t="s">
        <v>366</v>
      </c>
      <c r="D360" s="3" t="s">
        <v>357</v>
      </c>
      <c r="E360" s="3" t="s">
        <v>21</v>
      </c>
      <c r="F360" s="3" t="s">
        <v>22</v>
      </c>
      <c r="G360" s="3" t="s">
        <v>23</v>
      </c>
      <c r="H360" s="3" t="s">
        <v>24</v>
      </c>
      <c r="I360" s="3" t="s">
        <v>25</v>
      </c>
    </row>
    <row r="361" s="10" customFormat="1">
      <c r="A361" s="3" t="s">
        <v>632</v>
      </c>
      <c r="B361" s="3" t="s">
        <v>633</v>
      </c>
      <c r="C361" s="3"/>
      <c r="D361" s="3"/>
      <c r="E361" s="3"/>
      <c r="F361" s="3"/>
      <c r="G361" s="3"/>
      <c r="H361" s="3"/>
      <c r="I361" s="3"/>
    </row>
    <row r="362" s="10" customFormat="1">
      <c r="A362" s="3" t="s">
        <v>634</v>
      </c>
      <c r="B362" s="3" t="s">
        <v>633</v>
      </c>
      <c r="C362" s="3"/>
      <c r="D362" s="3"/>
      <c r="E362" s="3"/>
      <c r="F362" s="3"/>
      <c r="G362" s="3"/>
      <c r="H362" s="3"/>
      <c r="I362" s="3"/>
    </row>
    <row r="363" s="10" customFormat="1">
      <c r="A363" s="3" t="s">
        <v>635</v>
      </c>
      <c r="B363" s="3" t="s">
        <v>636</v>
      </c>
      <c r="C363" s="3"/>
      <c r="D363" s="3"/>
      <c r="E363" s="3"/>
      <c r="F363" s="3"/>
      <c r="G363" s="3"/>
      <c r="H363" s="3"/>
      <c r="I363" s="3"/>
    </row>
    <row r="364" s="10" customFormat="1">
      <c r="A364" s="3" t="s">
        <v>637</v>
      </c>
      <c r="B364" s="3" t="s">
        <v>636</v>
      </c>
      <c r="C364" s="3" t="s">
        <v>366</v>
      </c>
      <c r="D364" s="3" t="s">
        <v>357</v>
      </c>
      <c r="E364" s="3" t="s">
        <v>21</v>
      </c>
      <c r="F364" s="3" t="s">
        <v>22</v>
      </c>
      <c r="G364" s="3" t="s">
        <v>23</v>
      </c>
      <c r="H364" s="3" t="s">
        <v>24</v>
      </c>
      <c r="I364" s="3" t="s">
        <v>25</v>
      </c>
    </row>
    <row r="365" s="10" customFormat="1">
      <c r="A365" s="3" t="s">
        <v>638</v>
      </c>
      <c r="B365" s="3" t="s">
        <v>636</v>
      </c>
      <c r="C365" s="3" t="s">
        <v>366</v>
      </c>
      <c r="D365" s="3" t="s">
        <v>357</v>
      </c>
      <c r="E365" s="3" t="s">
        <v>21</v>
      </c>
      <c r="F365" s="3" t="s">
        <v>22</v>
      </c>
      <c r="G365" s="3" t="s">
        <v>23</v>
      </c>
      <c r="H365" s="3" t="s">
        <v>24</v>
      </c>
      <c r="I365" s="3" t="s">
        <v>25</v>
      </c>
    </row>
    <row r="366" s="10" customFormat="1">
      <c r="A366" s="3" t="s">
        <v>639</v>
      </c>
      <c r="B366" s="3" t="s">
        <v>640</v>
      </c>
      <c r="C366" s="3"/>
      <c r="D366" s="3"/>
      <c r="E366" s="3"/>
      <c r="F366" s="3"/>
      <c r="G366" s="3"/>
      <c r="H366" s="3"/>
      <c r="I366" s="3"/>
    </row>
    <row r="367" s="10" customFormat="1">
      <c r="A367" s="3" t="s">
        <v>641</v>
      </c>
      <c r="B367" s="3" t="s">
        <v>640</v>
      </c>
      <c r="C367" s="3" t="s">
        <v>366</v>
      </c>
      <c r="D367" s="3" t="s">
        <v>357</v>
      </c>
      <c r="E367" s="3" t="s">
        <v>21</v>
      </c>
      <c r="F367" s="3" t="s">
        <v>22</v>
      </c>
      <c r="G367" s="3" t="s">
        <v>23</v>
      </c>
      <c r="H367" s="3" t="s">
        <v>24</v>
      </c>
      <c r="I367" s="3" t="s">
        <v>25</v>
      </c>
    </row>
    <row r="368" s="10" customFormat="1">
      <c r="A368" s="3" t="s">
        <v>642</v>
      </c>
      <c r="B368" s="3" t="s">
        <v>640</v>
      </c>
      <c r="C368" s="3" t="s">
        <v>366</v>
      </c>
      <c r="D368" s="3" t="s">
        <v>357</v>
      </c>
      <c r="E368" s="3" t="s">
        <v>21</v>
      </c>
      <c r="F368" s="3" t="s">
        <v>22</v>
      </c>
      <c r="G368" s="3" t="s">
        <v>23</v>
      </c>
      <c r="H368" s="3" t="s">
        <v>24</v>
      </c>
      <c r="I368" s="3" t="s">
        <v>25</v>
      </c>
    </row>
    <row r="369" s="10" customFormat="1">
      <c r="A369" s="3" t="s">
        <v>643</v>
      </c>
      <c r="B369" s="3" t="s">
        <v>644</v>
      </c>
      <c r="C369" s="3"/>
      <c r="D369" s="3"/>
      <c r="E369" s="3"/>
      <c r="F369" s="3"/>
      <c r="G369" s="3"/>
      <c r="H369" s="3"/>
      <c r="I369" s="3"/>
    </row>
    <row r="370" s="10" customFormat="1">
      <c r="A370" s="3" t="s">
        <v>645</v>
      </c>
      <c r="B370" s="3" t="s">
        <v>644</v>
      </c>
      <c r="C370" s="3" t="s">
        <v>366</v>
      </c>
      <c r="D370" s="3" t="s">
        <v>357</v>
      </c>
      <c r="E370" s="3" t="s">
        <v>21</v>
      </c>
      <c r="F370" s="3" t="s">
        <v>22</v>
      </c>
      <c r="G370" s="3" t="s">
        <v>23</v>
      </c>
      <c r="H370" s="3" t="s">
        <v>24</v>
      </c>
      <c r="I370" s="3" t="s">
        <v>25</v>
      </c>
    </row>
    <row r="371" s="10" customFormat="1">
      <c r="A371" s="3" t="s">
        <v>646</v>
      </c>
      <c r="B371" s="3" t="s">
        <v>644</v>
      </c>
      <c r="C371" s="3" t="s">
        <v>366</v>
      </c>
      <c r="D371" s="3" t="s">
        <v>357</v>
      </c>
      <c r="E371" s="3" t="s">
        <v>21</v>
      </c>
      <c r="F371" s="3" t="s">
        <v>22</v>
      </c>
      <c r="G371" s="3" t="s">
        <v>23</v>
      </c>
      <c r="H371" s="3" t="s">
        <v>24</v>
      </c>
      <c r="I371" s="3" t="s">
        <v>25</v>
      </c>
    </row>
    <row r="372" s="10" customFormat="1">
      <c r="A372" s="3" t="s">
        <v>647</v>
      </c>
      <c r="B372" s="3" t="s">
        <v>648</v>
      </c>
      <c r="C372" s="3"/>
      <c r="D372" s="3"/>
      <c r="E372" s="3"/>
      <c r="F372" s="3"/>
      <c r="G372" s="3"/>
      <c r="H372" s="3"/>
      <c r="I372" s="3"/>
    </row>
    <row r="373" s="10" customFormat="1">
      <c r="A373" s="3" t="s">
        <v>649</v>
      </c>
      <c r="B373" s="3" t="s">
        <v>648</v>
      </c>
      <c r="C373" s="3" t="s">
        <v>366</v>
      </c>
      <c r="D373" s="3" t="s">
        <v>357</v>
      </c>
      <c r="E373" s="3" t="s">
        <v>21</v>
      </c>
      <c r="F373" s="3" t="s">
        <v>22</v>
      </c>
      <c r="G373" s="3" t="s">
        <v>23</v>
      </c>
      <c r="H373" s="3" t="s">
        <v>24</v>
      </c>
      <c r="I373" s="3" t="s">
        <v>25</v>
      </c>
    </row>
    <row r="374" s="10" customFormat="1">
      <c r="A374" s="3" t="s">
        <v>650</v>
      </c>
      <c r="B374" s="3" t="s">
        <v>648</v>
      </c>
      <c r="C374" s="3" t="s">
        <v>366</v>
      </c>
      <c r="D374" s="3" t="s">
        <v>357</v>
      </c>
      <c r="E374" s="3" t="s">
        <v>21</v>
      </c>
      <c r="F374" s="3" t="s">
        <v>22</v>
      </c>
      <c r="G374" s="3" t="s">
        <v>23</v>
      </c>
      <c r="H374" s="3" t="s">
        <v>24</v>
      </c>
      <c r="I374" s="3" t="s">
        <v>25</v>
      </c>
    </row>
    <row r="375" s="10" customFormat="1">
      <c r="A375" s="3" t="s">
        <v>651</v>
      </c>
      <c r="B375" s="3" t="s">
        <v>652</v>
      </c>
      <c r="C375" s="3"/>
      <c r="D375" s="3"/>
      <c r="E375" s="3"/>
      <c r="F375" s="3"/>
      <c r="G375" s="3"/>
      <c r="H375" s="3"/>
      <c r="I375" s="3"/>
    </row>
    <row r="376" s="10" customFormat="1">
      <c r="A376" s="3" t="s">
        <v>653</v>
      </c>
      <c r="B376" s="3" t="s">
        <v>654</v>
      </c>
      <c r="C376" s="3"/>
      <c r="D376" s="3"/>
      <c r="E376" s="3"/>
      <c r="F376" s="3"/>
      <c r="G376" s="3"/>
      <c r="H376" s="3"/>
      <c r="I376" s="3"/>
    </row>
    <row r="377" s="10" customFormat="1">
      <c r="A377" s="3" t="s">
        <v>655</v>
      </c>
      <c r="B377" s="3" t="s">
        <v>656</v>
      </c>
      <c r="C377" s="3"/>
      <c r="D377" s="3"/>
      <c r="E377" s="3"/>
      <c r="F377" s="3"/>
      <c r="G377" s="3"/>
      <c r="H377" s="3"/>
      <c r="I377" s="3"/>
    </row>
    <row r="378" s="10" customFormat="1">
      <c r="A378" s="3" t="s">
        <v>657</v>
      </c>
      <c r="B378" s="3" t="s">
        <v>656</v>
      </c>
      <c r="C378" s="3" t="s">
        <v>366</v>
      </c>
      <c r="D378" s="3" t="s">
        <v>357</v>
      </c>
      <c r="E378" s="3" t="s">
        <v>21</v>
      </c>
      <c r="F378" s="3" t="s">
        <v>81</v>
      </c>
      <c r="G378" s="3" t="s">
        <v>23</v>
      </c>
      <c r="H378" s="3" t="s">
        <v>24</v>
      </c>
      <c r="I378" s="3" t="s">
        <v>25</v>
      </c>
    </row>
    <row r="379" s="10" customFormat="1">
      <c r="A379" s="3" t="s">
        <v>658</v>
      </c>
      <c r="B379" s="3" t="s">
        <v>659</v>
      </c>
      <c r="C379" s="3"/>
      <c r="D379" s="3"/>
      <c r="E379" s="3"/>
      <c r="F379" s="3"/>
      <c r="G379" s="3"/>
      <c r="H379" s="3"/>
      <c r="I379" s="3"/>
    </row>
    <row r="380" s="10" customFormat="1">
      <c r="A380" s="3" t="s">
        <v>660</v>
      </c>
      <c r="B380" s="3" t="s">
        <v>661</v>
      </c>
      <c r="C380" s="3"/>
      <c r="D380" s="3"/>
      <c r="E380" s="3"/>
      <c r="F380" s="3"/>
      <c r="G380" s="3"/>
      <c r="H380" s="3"/>
      <c r="I380" s="3"/>
    </row>
    <row r="381" s="10" customFormat="1">
      <c r="A381" s="3" t="s">
        <v>662</v>
      </c>
      <c r="B381" s="3" t="s">
        <v>661</v>
      </c>
      <c r="C381" s="3" t="s">
        <v>366</v>
      </c>
      <c r="D381" s="3" t="s">
        <v>357</v>
      </c>
      <c r="E381" s="3" t="s">
        <v>21</v>
      </c>
      <c r="F381" s="3" t="s">
        <v>22</v>
      </c>
      <c r="G381" s="3" t="s">
        <v>23</v>
      </c>
      <c r="H381" s="3" t="s">
        <v>24</v>
      </c>
      <c r="I381" s="3" t="s">
        <v>25</v>
      </c>
    </row>
    <row r="382" s="10" customFormat="1">
      <c r="A382" s="3" t="s">
        <v>663</v>
      </c>
      <c r="B382" s="3" t="s">
        <v>664</v>
      </c>
      <c r="C382" s="3"/>
      <c r="D382" s="3"/>
      <c r="E382" s="3"/>
      <c r="F382" s="3"/>
      <c r="G382" s="3"/>
      <c r="H382" s="3"/>
      <c r="I382" s="3"/>
    </row>
    <row r="383" s="10" customFormat="1">
      <c r="A383" s="3" t="s">
        <v>665</v>
      </c>
      <c r="B383" s="3" t="s">
        <v>666</v>
      </c>
      <c r="C383" s="3"/>
      <c r="D383" s="3"/>
      <c r="E383" s="3"/>
      <c r="F383" s="3"/>
      <c r="G383" s="3"/>
      <c r="H383" s="3"/>
      <c r="I383" s="3"/>
    </row>
    <row r="384" s="10" customFormat="1">
      <c r="A384" s="3" t="s">
        <v>667</v>
      </c>
      <c r="B384" s="3" t="s">
        <v>668</v>
      </c>
      <c r="C384" s="3"/>
      <c r="D384" s="3"/>
      <c r="E384" s="3"/>
      <c r="F384" s="3"/>
      <c r="G384" s="3"/>
      <c r="H384" s="3"/>
      <c r="I384" s="3"/>
    </row>
    <row r="385" s="10" customFormat="1">
      <c r="A385" s="3" t="s">
        <v>669</v>
      </c>
      <c r="B385" s="3" t="s">
        <v>668</v>
      </c>
      <c r="C385" s="3"/>
      <c r="D385" s="3"/>
      <c r="E385" s="3"/>
      <c r="F385" s="3"/>
      <c r="G385" s="3"/>
      <c r="H385" s="3"/>
      <c r="I385" s="3"/>
    </row>
    <row r="386" s="10" customFormat="1">
      <c r="A386" s="3" t="s">
        <v>670</v>
      </c>
      <c r="B386" s="3" t="s">
        <v>671</v>
      </c>
      <c r="C386" s="3" t="s">
        <v>664</v>
      </c>
      <c r="D386" s="3" t="s">
        <v>664</v>
      </c>
      <c r="E386" s="3" t="s">
        <v>21</v>
      </c>
      <c r="F386" s="3" t="s">
        <v>22</v>
      </c>
      <c r="G386" s="3" t="s">
        <v>23</v>
      </c>
      <c r="H386" s="3" t="s">
        <v>24</v>
      </c>
      <c r="I386" s="3" t="s">
        <v>25</v>
      </c>
    </row>
    <row r="387" s="10" customFormat="1">
      <c r="A387" s="3" t="s">
        <v>672</v>
      </c>
      <c r="B387" s="3" t="s">
        <v>673</v>
      </c>
      <c r="C387" s="3"/>
      <c r="D387" s="3"/>
      <c r="E387" s="3"/>
      <c r="F387" s="3"/>
      <c r="G387" s="3"/>
      <c r="H387" s="3"/>
      <c r="I387" s="3"/>
    </row>
    <row r="388" s="10" customFormat="1">
      <c r="A388" s="3" t="s">
        <v>674</v>
      </c>
      <c r="B388" s="3" t="s">
        <v>673</v>
      </c>
      <c r="C388" s="3" t="s">
        <v>664</v>
      </c>
      <c r="D388" s="3" t="s">
        <v>664</v>
      </c>
      <c r="E388" s="3" t="s">
        <v>21</v>
      </c>
      <c r="F388" s="3" t="s">
        <v>22</v>
      </c>
      <c r="G388" s="3" t="s">
        <v>23</v>
      </c>
      <c r="H388" s="3" t="s">
        <v>24</v>
      </c>
      <c r="I388" s="3" t="s">
        <v>25</v>
      </c>
    </row>
    <row r="389" s="10" customFormat="1">
      <c r="A389" s="3" t="s">
        <v>675</v>
      </c>
      <c r="B389" s="3" t="s">
        <v>676</v>
      </c>
      <c r="C389" s="3"/>
      <c r="D389" s="3"/>
      <c r="E389" s="3"/>
      <c r="F389" s="3"/>
      <c r="G389" s="3"/>
      <c r="H389" s="3"/>
      <c r="I389" s="3"/>
    </row>
    <row r="390" s="10" customFormat="1">
      <c r="A390" s="3" t="s">
        <v>677</v>
      </c>
      <c r="B390" s="3" t="s">
        <v>678</v>
      </c>
      <c r="C390" s="3"/>
      <c r="D390" s="3"/>
      <c r="E390" s="3"/>
      <c r="F390" s="3"/>
      <c r="G390" s="3"/>
      <c r="H390" s="3"/>
      <c r="I390" s="3"/>
    </row>
    <row r="391" s="10" customFormat="1">
      <c r="A391" s="3" t="s">
        <v>679</v>
      </c>
      <c r="B391" s="3" t="s">
        <v>680</v>
      </c>
      <c r="C391" s="3"/>
      <c r="D391" s="3"/>
      <c r="E391" s="3"/>
      <c r="F391" s="3"/>
      <c r="G391" s="3"/>
      <c r="H391" s="3"/>
      <c r="I391" s="3"/>
    </row>
    <row r="392" s="10" customFormat="1">
      <c r="A392" s="3" t="s">
        <v>681</v>
      </c>
      <c r="B392" s="3" t="s">
        <v>680</v>
      </c>
      <c r="C392" s="3" t="s">
        <v>664</v>
      </c>
      <c r="D392" s="3" t="s">
        <v>664</v>
      </c>
      <c r="E392" s="3" t="s">
        <v>21</v>
      </c>
      <c r="F392" s="3" t="s">
        <v>22</v>
      </c>
      <c r="G392" s="3" t="s">
        <v>23</v>
      </c>
      <c r="H392" s="3" t="s">
        <v>24</v>
      </c>
      <c r="I392" s="3" t="s">
        <v>25</v>
      </c>
    </row>
    <row r="393" s="10" customFormat="1">
      <c r="A393" s="3" t="s">
        <v>682</v>
      </c>
      <c r="B393" s="3" t="s">
        <v>683</v>
      </c>
      <c r="C393" s="3"/>
      <c r="D393" s="3"/>
      <c r="E393" s="3"/>
      <c r="F393" s="3"/>
      <c r="G393" s="3"/>
      <c r="H393" s="3"/>
      <c r="I393" s="3"/>
    </row>
    <row r="394" s="10" customFormat="1">
      <c r="A394" s="3" t="s">
        <v>684</v>
      </c>
      <c r="B394" s="3" t="s">
        <v>683</v>
      </c>
      <c r="C394" s="3" t="s">
        <v>664</v>
      </c>
      <c r="D394" s="3" t="s">
        <v>664</v>
      </c>
      <c r="E394" s="3" t="s">
        <v>21</v>
      </c>
      <c r="F394" s="3" t="s">
        <v>22</v>
      </c>
      <c r="G394" s="3" t="s">
        <v>23</v>
      </c>
      <c r="H394" s="3" t="s">
        <v>24</v>
      </c>
      <c r="I394" s="3" t="s">
        <v>25</v>
      </c>
    </row>
    <row r="395" s="10" customFormat="1">
      <c r="A395" s="3" t="s">
        <v>685</v>
      </c>
      <c r="B395" s="3" t="s">
        <v>686</v>
      </c>
      <c r="C395" s="3"/>
      <c r="D395" s="3"/>
      <c r="E395" s="3"/>
      <c r="F395" s="3"/>
      <c r="G395" s="3"/>
      <c r="H395" s="3"/>
      <c r="I395" s="3"/>
    </row>
    <row r="396" s="10" customFormat="1">
      <c r="A396" s="3" t="s">
        <v>687</v>
      </c>
      <c r="B396" s="3" t="s">
        <v>688</v>
      </c>
      <c r="C396" s="3"/>
      <c r="D396" s="3"/>
      <c r="E396" s="3"/>
      <c r="F396" s="3"/>
      <c r="G396" s="3"/>
      <c r="H396" s="3"/>
      <c r="I396" s="3"/>
    </row>
    <row r="397" s="10" customFormat="1">
      <c r="A397" s="3" t="s">
        <v>689</v>
      </c>
      <c r="B397" s="3" t="s">
        <v>688</v>
      </c>
      <c r="C397" s="3"/>
      <c r="D397" s="3"/>
      <c r="E397" s="3"/>
      <c r="F397" s="3"/>
      <c r="G397" s="3"/>
      <c r="H397" s="3"/>
      <c r="I397" s="3"/>
    </row>
    <row r="398" s="10" customFormat="1">
      <c r="A398" s="3" t="s">
        <v>690</v>
      </c>
      <c r="B398" s="3" t="s">
        <v>691</v>
      </c>
      <c r="C398" s="3" t="s">
        <v>664</v>
      </c>
      <c r="D398" s="3" t="s">
        <v>664</v>
      </c>
      <c r="E398" s="3" t="s">
        <v>21</v>
      </c>
      <c r="F398" s="3" t="s">
        <v>22</v>
      </c>
      <c r="G398" s="3" t="s">
        <v>23</v>
      </c>
      <c r="H398" s="3" t="s">
        <v>24</v>
      </c>
      <c r="I398" s="3" t="s">
        <v>25</v>
      </c>
    </row>
    <row r="399" s="10" customFormat="1">
      <c r="A399" s="3" t="s">
        <v>692</v>
      </c>
      <c r="B399" s="3" t="s">
        <v>693</v>
      </c>
      <c r="C399" s="3"/>
      <c r="D399" s="3"/>
      <c r="E399" s="3"/>
      <c r="F399" s="3"/>
      <c r="G399" s="3"/>
      <c r="H399" s="3"/>
      <c r="I399" s="3"/>
    </row>
    <row r="400" s="10" customFormat="1">
      <c r="A400" s="3" t="s">
        <v>694</v>
      </c>
      <c r="B400" s="3" t="s">
        <v>693</v>
      </c>
      <c r="C400" s="3"/>
      <c r="D400" s="3"/>
      <c r="E400" s="3"/>
      <c r="F400" s="3"/>
      <c r="G400" s="3"/>
      <c r="H400" s="3"/>
      <c r="I400" s="3"/>
    </row>
    <row r="401" s="10" customFormat="1">
      <c r="A401" s="3" t="s">
        <v>695</v>
      </c>
      <c r="B401" s="3" t="s">
        <v>696</v>
      </c>
      <c r="C401" s="3"/>
      <c r="D401" s="3"/>
      <c r="E401" s="3"/>
      <c r="F401" s="3"/>
      <c r="G401" s="3"/>
      <c r="H401" s="3"/>
      <c r="I401" s="3"/>
    </row>
    <row r="402" s="10" customFormat="1">
      <c r="A402" s="3" t="s">
        <v>697</v>
      </c>
      <c r="B402" s="3" t="s">
        <v>698</v>
      </c>
      <c r="C402" s="3" t="s">
        <v>664</v>
      </c>
      <c r="D402" s="3" t="s">
        <v>664</v>
      </c>
      <c r="E402" s="3" t="s">
        <v>21</v>
      </c>
      <c r="F402" s="3" t="s">
        <v>22</v>
      </c>
      <c r="G402" s="3" t="s">
        <v>23</v>
      </c>
      <c r="H402" s="3" t="s">
        <v>24</v>
      </c>
      <c r="I402" s="3" t="s">
        <v>25</v>
      </c>
    </row>
    <row r="403" s="10" customFormat="1">
      <c r="A403" s="3" t="s">
        <v>699</v>
      </c>
      <c r="B403" s="3" t="s">
        <v>700</v>
      </c>
      <c r="C403" s="3"/>
      <c r="D403" s="3"/>
      <c r="E403" s="3"/>
      <c r="F403" s="3"/>
      <c r="G403" s="3"/>
      <c r="H403" s="3"/>
      <c r="I403" s="3"/>
    </row>
    <row r="404" s="10" customFormat="1">
      <c r="A404" s="3" t="s">
        <v>701</v>
      </c>
      <c r="B404" s="3" t="s">
        <v>700</v>
      </c>
      <c r="C404" s="3"/>
      <c r="D404" s="3"/>
      <c r="E404" s="3"/>
      <c r="F404" s="3"/>
      <c r="G404" s="3"/>
      <c r="H404" s="3"/>
      <c r="I404" s="3"/>
    </row>
    <row r="405" s="10" customFormat="1">
      <c r="A405" s="3" t="s">
        <v>702</v>
      </c>
      <c r="B405" s="3" t="s">
        <v>700</v>
      </c>
      <c r="C405" s="3"/>
      <c r="D405" s="3"/>
      <c r="E405" s="3"/>
      <c r="F405" s="3"/>
      <c r="G405" s="3"/>
      <c r="H405" s="3"/>
      <c r="I405" s="3"/>
    </row>
    <row r="406" s="10" customFormat="1">
      <c r="A406" s="3" t="s">
        <v>703</v>
      </c>
      <c r="B406" s="3" t="s">
        <v>704</v>
      </c>
      <c r="C406" s="3" t="s">
        <v>664</v>
      </c>
      <c r="D406" s="3" t="s">
        <v>664</v>
      </c>
      <c r="E406" s="3" t="s">
        <v>21</v>
      </c>
      <c r="F406" s="3" t="s">
        <v>22</v>
      </c>
      <c r="G406" s="3" t="s">
        <v>23</v>
      </c>
      <c r="H406" s="3" t="s">
        <v>24</v>
      </c>
      <c r="I406" s="3" t="s">
        <v>25</v>
      </c>
    </row>
    <row r="407" s="10" customFormat="1">
      <c r="A407" s="3" t="s">
        <v>705</v>
      </c>
      <c r="B407" s="3" t="s">
        <v>706</v>
      </c>
      <c r="C407" s="3"/>
      <c r="D407" s="3"/>
      <c r="E407" s="3"/>
      <c r="F407" s="3"/>
      <c r="G407" s="3"/>
      <c r="H407" s="3"/>
      <c r="I407" s="3"/>
    </row>
    <row r="408" s="10" customFormat="1">
      <c r="A408" s="3" t="s">
        <v>707</v>
      </c>
      <c r="B408" s="3" t="s">
        <v>706</v>
      </c>
      <c r="C408" s="3"/>
      <c r="D408" s="3"/>
      <c r="E408" s="3"/>
      <c r="F408" s="3"/>
      <c r="G408" s="3"/>
      <c r="H408" s="3"/>
      <c r="I408" s="3"/>
    </row>
    <row r="409" s="10" customFormat="1">
      <c r="A409" s="3" t="s">
        <v>708</v>
      </c>
      <c r="B409" s="3" t="s">
        <v>709</v>
      </c>
      <c r="C409" s="3" t="s">
        <v>664</v>
      </c>
      <c r="D409" s="3" t="s">
        <v>664</v>
      </c>
      <c r="E409" s="3" t="s">
        <v>21</v>
      </c>
      <c r="F409" s="3" t="s">
        <v>22</v>
      </c>
      <c r="G409" s="3" t="s">
        <v>23</v>
      </c>
      <c r="H409" s="3" t="s">
        <v>24</v>
      </c>
      <c r="I409" s="3" t="s">
        <v>25</v>
      </c>
    </row>
    <row r="410" s="10" customFormat="1">
      <c r="A410" s="3" t="s">
        <v>710</v>
      </c>
      <c r="B410" s="3" t="s">
        <v>711</v>
      </c>
      <c r="C410" s="3"/>
      <c r="D410" s="3"/>
      <c r="E410" s="3"/>
      <c r="F410" s="3"/>
      <c r="G410" s="3"/>
      <c r="H410" s="3"/>
      <c r="I410" s="3"/>
    </row>
    <row r="411" s="10" customFormat="1">
      <c r="A411" s="3" t="s">
        <v>712</v>
      </c>
      <c r="B411" s="3" t="s">
        <v>713</v>
      </c>
      <c r="C411" s="3"/>
      <c r="D411" s="3"/>
      <c r="E411" s="3"/>
      <c r="F411" s="3"/>
      <c r="G411" s="3"/>
      <c r="H411" s="3"/>
      <c r="I411" s="3"/>
    </row>
    <row r="412" s="10" customFormat="1">
      <c r="A412" s="3" t="s">
        <v>714</v>
      </c>
      <c r="B412" s="3" t="s">
        <v>713</v>
      </c>
      <c r="C412" s="3"/>
      <c r="D412" s="3"/>
      <c r="E412" s="3"/>
      <c r="F412" s="3"/>
      <c r="G412" s="3"/>
      <c r="H412" s="3"/>
      <c r="I412" s="3"/>
    </row>
    <row r="413" s="10" customFormat="1">
      <c r="A413" s="3" t="s">
        <v>715</v>
      </c>
      <c r="B413" s="3" t="s">
        <v>713</v>
      </c>
      <c r="C413" s="3" t="s">
        <v>664</v>
      </c>
      <c r="D413" s="3" t="s">
        <v>664</v>
      </c>
      <c r="E413" s="3" t="s">
        <v>21</v>
      </c>
      <c r="F413" s="3" t="s">
        <v>22</v>
      </c>
      <c r="G413" s="3" t="s">
        <v>23</v>
      </c>
      <c r="H413" s="3" t="s">
        <v>24</v>
      </c>
      <c r="I413" s="3" t="s">
        <v>25</v>
      </c>
    </row>
    <row r="414" s="10" customFormat="1">
      <c r="A414" s="3" t="s">
        <v>716</v>
      </c>
      <c r="B414" s="3" t="s">
        <v>717</v>
      </c>
      <c r="C414" s="3"/>
      <c r="D414" s="3"/>
      <c r="E414" s="3"/>
      <c r="F414" s="3"/>
      <c r="G414" s="3"/>
      <c r="H414" s="3"/>
      <c r="I414" s="3"/>
    </row>
    <row r="415" s="10" customFormat="1">
      <c r="A415" s="3" t="s">
        <v>718</v>
      </c>
      <c r="B415" s="3" t="s">
        <v>719</v>
      </c>
      <c r="C415" s="3"/>
      <c r="D415" s="3"/>
      <c r="E415" s="3"/>
      <c r="F415" s="3"/>
      <c r="G415" s="3"/>
      <c r="H415" s="3"/>
      <c r="I415" s="3"/>
    </row>
    <row r="416" s="10" customFormat="1">
      <c r="A416" s="3" t="s">
        <v>720</v>
      </c>
      <c r="B416" s="3" t="s">
        <v>721</v>
      </c>
      <c r="C416" s="3"/>
      <c r="D416" s="3"/>
      <c r="E416" s="3"/>
      <c r="F416" s="3"/>
      <c r="G416" s="3"/>
      <c r="H416" s="3"/>
      <c r="I416" s="3"/>
    </row>
    <row r="417" s="10" customFormat="1">
      <c r="A417" s="3" t="s">
        <v>722</v>
      </c>
      <c r="B417" s="3" t="s">
        <v>721</v>
      </c>
      <c r="C417" s="3"/>
      <c r="D417" s="3"/>
      <c r="E417" s="3"/>
      <c r="F417" s="3"/>
      <c r="G417" s="3"/>
      <c r="H417" s="3"/>
      <c r="I417" s="3"/>
    </row>
    <row r="418" s="10" customFormat="1">
      <c r="A418" s="3" t="s">
        <v>723</v>
      </c>
      <c r="B418" s="3" t="s">
        <v>721</v>
      </c>
      <c r="C418" s="3" t="s">
        <v>717</v>
      </c>
      <c r="D418" s="3" t="s">
        <v>717</v>
      </c>
      <c r="E418" s="3" t="s">
        <v>21</v>
      </c>
      <c r="F418" s="3" t="s">
        <v>22</v>
      </c>
      <c r="G418" s="3" t="s">
        <v>23</v>
      </c>
      <c r="H418" s="3" t="s">
        <v>24</v>
      </c>
      <c r="I418" s="3" t="s">
        <v>25</v>
      </c>
    </row>
    <row r="419" s="10" customFormat="1">
      <c r="A419" s="3" t="s">
        <v>724</v>
      </c>
      <c r="B419" s="3" t="s">
        <v>725</v>
      </c>
      <c r="C419" s="3" t="s">
        <v>717</v>
      </c>
      <c r="D419" s="3" t="s">
        <v>717</v>
      </c>
      <c r="E419" s="3" t="s">
        <v>21</v>
      </c>
      <c r="F419" s="3" t="s">
        <v>22</v>
      </c>
      <c r="G419" s="3" t="s">
        <v>23</v>
      </c>
      <c r="H419" s="3" t="s">
        <v>24</v>
      </c>
      <c r="I419" s="3" t="s">
        <v>25</v>
      </c>
    </row>
    <row r="420" s="10" customFormat="1">
      <c r="A420" s="3" t="s">
        <v>726</v>
      </c>
      <c r="B420" s="3" t="s">
        <v>727</v>
      </c>
      <c r="C420" s="3" t="s">
        <v>717</v>
      </c>
      <c r="D420" s="3" t="s">
        <v>717</v>
      </c>
      <c r="E420" s="3" t="s">
        <v>21</v>
      </c>
      <c r="F420" s="3" t="s">
        <v>22</v>
      </c>
      <c r="G420" s="3" t="s">
        <v>24</v>
      </c>
      <c r="H420" s="3" t="s">
        <v>24</v>
      </c>
      <c r="I420" s="3" t="s">
        <v>25</v>
      </c>
    </row>
    <row r="421" s="10" customFormat="1">
      <c r="A421" s="3" t="s">
        <v>728</v>
      </c>
      <c r="B421" s="3" t="s">
        <v>729</v>
      </c>
      <c r="C421" s="3"/>
      <c r="D421" s="3"/>
      <c r="E421" s="3"/>
      <c r="F421" s="3"/>
      <c r="G421" s="3"/>
      <c r="H421" s="3"/>
      <c r="I421" s="3"/>
    </row>
    <row r="422" s="10" customFormat="1">
      <c r="A422" s="3" t="s">
        <v>730</v>
      </c>
      <c r="B422" s="3" t="s">
        <v>731</v>
      </c>
      <c r="C422" s="3"/>
      <c r="D422" s="3"/>
      <c r="E422" s="3"/>
      <c r="F422" s="3"/>
      <c r="G422" s="3"/>
      <c r="H422" s="3"/>
      <c r="I422" s="3"/>
    </row>
    <row r="423" s="10" customFormat="1">
      <c r="A423" s="3" t="s">
        <v>732</v>
      </c>
      <c r="B423" s="3" t="s">
        <v>733</v>
      </c>
      <c r="C423" s="3" t="s">
        <v>717</v>
      </c>
      <c r="D423" s="3" t="s">
        <v>717</v>
      </c>
      <c r="E423" s="3" t="s">
        <v>21</v>
      </c>
      <c r="F423" s="3" t="s">
        <v>22</v>
      </c>
      <c r="G423" s="3" t="s">
        <v>23</v>
      </c>
      <c r="H423" s="3" t="s">
        <v>24</v>
      </c>
      <c r="I423" s="3" t="s">
        <v>25</v>
      </c>
    </row>
    <row r="424" s="10" customFormat="1">
      <c r="A424" s="3" t="s">
        <v>734</v>
      </c>
      <c r="B424" s="3" t="s">
        <v>735</v>
      </c>
      <c r="C424" s="3"/>
      <c r="D424" s="3"/>
      <c r="E424" s="3"/>
      <c r="F424" s="3"/>
      <c r="G424" s="3"/>
      <c r="H424" s="3"/>
      <c r="I424" s="3"/>
    </row>
    <row r="425" s="10" customFormat="1">
      <c r="A425" s="3" t="s">
        <v>736</v>
      </c>
      <c r="B425" s="3" t="s">
        <v>737</v>
      </c>
      <c r="C425" s="3"/>
      <c r="D425" s="3"/>
      <c r="E425" s="3"/>
      <c r="F425" s="3"/>
      <c r="G425" s="3"/>
      <c r="H425" s="3"/>
      <c r="I425" s="3"/>
    </row>
    <row r="426" s="10" customFormat="1">
      <c r="A426" s="3" t="s">
        <v>738</v>
      </c>
      <c r="B426" s="3" t="s">
        <v>735</v>
      </c>
      <c r="C426" s="3" t="s">
        <v>717</v>
      </c>
      <c r="D426" s="3" t="s">
        <v>717</v>
      </c>
      <c r="E426" s="3" t="s">
        <v>21</v>
      </c>
      <c r="F426" s="3" t="s">
        <v>22</v>
      </c>
      <c r="G426" s="3" t="s">
        <v>23</v>
      </c>
      <c r="H426" s="3" t="s">
        <v>24</v>
      </c>
      <c r="I426" s="3" t="s">
        <v>25</v>
      </c>
    </row>
    <row r="427" s="10" customFormat="1">
      <c r="A427" s="3" t="s">
        <v>739</v>
      </c>
      <c r="B427" s="3" t="s">
        <v>740</v>
      </c>
      <c r="C427" s="3" t="s">
        <v>717</v>
      </c>
      <c r="D427" s="3" t="s">
        <v>717</v>
      </c>
      <c r="E427" s="3" t="s">
        <v>21</v>
      </c>
      <c r="F427" s="3" t="s">
        <v>22</v>
      </c>
      <c r="G427" s="3" t="s">
        <v>23</v>
      </c>
      <c r="H427" s="3" t="s">
        <v>24</v>
      </c>
      <c r="I427" s="3" t="s">
        <v>25</v>
      </c>
    </row>
    <row r="428" s="10" customFormat="1">
      <c r="A428" s="3" t="s">
        <v>741</v>
      </c>
      <c r="B428" s="3" t="s">
        <v>742</v>
      </c>
      <c r="C428" s="3" t="s">
        <v>717</v>
      </c>
      <c r="D428" s="3" t="s">
        <v>717</v>
      </c>
      <c r="E428" s="3" t="s">
        <v>21</v>
      </c>
      <c r="F428" s="3" t="s">
        <v>22</v>
      </c>
      <c r="G428" s="3" t="s">
        <v>23</v>
      </c>
      <c r="H428" s="3" t="s">
        <v>24</v>
      </c>
      <c r="I428" s="3" t="s">
        <v>25</v>
      </c>
    </row>
    <row r="429" s="10" customFormat="1">
      <c r="A429" s="3" t="s">
        <v>743</v>
      </c>
      <c r="B429" s="3" t="s">
        <v>744</v>
      </c>
      <c r="C429" s="3" t="s">
        <v>717</v>
      </c>
      <c r="D429" s="3" t="s">
        <v>717</v>
      </c>
      <c r="E429" s="3" t="s">
        <v>21</v>
      </c>
      <c r="F429" s="3" t="s">
        <v>22</v>
      </c>
      <c r="G429" s="3" t="s">
        <v>24</v>
      </c>
      <c r="H429" s="3" t="s">
        <v>24</v>
      </c>
      <c r="I429" s="3" t="s">
        <v>25</v>
      </c>
    </row>
    <row r="430" s="10" customFormat="1">
      <c r="A430" s="3" t="s">
        <v>745</v>
      </c>
      <c r="B430" s="3" t="s">
        <v>441</v>
      </c>
      <c r="C430" s="3"/>
      <c r="D430" s="3"/>
      <c r="E430" s="3"/>
      <c r="F430" s="3"/>
      <c r="G430" s="3"/>
      <c r="H430" s="3"/>
      <c r="I430" s="3"/>
    </row>
    <row r="431" s="10" customFormat="1">
      <c r="A431" s="3" t="s">
        <v>746</v>
      </c>
      <c r="B431" s="3" t="s">
        <v>441</v>
      </c>
      <c r="C431" s="3"/>
      <c r="D431" s="3"/>
      <c r="E431" s="3"/>
      <c r="F431" s="3"/>
      <c r="G431" s="3"/>
      <c r="H431" s="3"/>
      <c r="I431" s="3"/>
    </row>
    <row r="432" s="10" customFormat="1">
      <c r="A432" s="3" t="s">
        <v>747</v>
      </c>
      <c r="B432" s="3" t="s">
        <v>441</v>
      </c>
      <c r="C432" s="3" t="s">
        <v>717</v>
      </c>
      <c r="D432" s="3" t="s">
        <v>717</v>
      </c>
      <c r="E432" s="3" t="s">
        <v>21</v>
      </c>
      <c r="F432" s="3" t="s">
        <v>22</v>
      </c>
      <c r="G432" s="3" t="s">
        <v>23</v>
      </c>
      <c r="H432" s="3" t="s">
        <v>24</v>
      </c>
      <c r="I432" s="3" t="s">
        <v>25</v>
      </c>
    </row>
    <row r="433" s="10" customFormat="1">
      <c r="A433" s="3" t="s">
        <v>748</v>
      </c>
      <c r="B433" s="3" t="s">
        <v>749</v>
      </c>
      <c r="C433" s="3" t="s">
        <v>717</v>
      </c>
      <c r="D433" s="3" t="s">
        <v>717</v>
      </c>
      <c r="E433" s="3" t="s">
        <v>21</v>
      </c>
      <c r="F433" s="3" t="s">
        <v>22</v>
      </c>
      <c r="G433" s="3" t="s">
        <v>23</v>
      </c>
      <c r="H433" s="3" t="s">
        <v>24</v>
      </c>
      <c r="I433" s="3" t="s">
        <v>25</v>
      </c>
    </row>
    <row r="434" s="10" customFormat="1">
      <c r="A434" s="3" t="s">
        <v>750</v>
      </c>
      <c r="B434" s="3" t="s">
        <v>751</v>
      </c>
      <c r="C434" s="3" t="s">
        <v>717</v>
      </c>
      <c r="D434" s="3" t="s">
        <v>717</v>
      </c>
      <c r="E434" s="3" t="s">
        <v>21</v>
      </c>
      <c r="F434" s="3" t="s">
        <v>22</v>
      </c>
      <c r="G434" s="3" t="s">
        <v>24</v>
      </c>
      <c r="H434" s="3" t="s">
        <v>24</v>
      </c>
      <c r="I434" s="3" t="s">
        <v>25</v>
      </c>
    </row>
    <row r="435" s="10" customFormat="1">
      <c r="A435" s="3" t="s">
        <v>752</v>
      </c>
      <c r="B435" s="3" t="s">
        <v>753</v>
      </c>
      <c r="C435" s="3"/>
      <c r="D435" s="3"/>
      <c r="E435" s="3"/>
      <c r="F435" s="3"/>
      <c r="G435" s="3"/>
      <c r="H435" s="3"/>
      <c r="I435" s="3"/>
    </row>
    <row r="436" s="10" customFormat="1">
      <c r="A436" s="3" t="s">
        <v>754</v>
      </c>
      <c r="B436" s="3" t="s">
        <v>755</v>
      </c>
      <c r="C436" s="3"/>
      <c r="D436" s="3"/>
      <c r="E436" s="3"/>
      <c r="F436" s="3"/>
      <c r="G436" s="3"/>
      <c r="H436" s="3"/>
      <c r="I436" s="3"/>
    </row>
    <row r="437" s="10" customFormat="1">
      <c r="A437" s="3" t="s">
        <v>756</v>
      </c>
      <c r="B437" s="3" t="s">
        <v>757</v>
      </c>
      <c r="C437" s="3"/>
      <c r="D437" s="3"/>
      <c r="E437" s="3"/>
      <c r="F437" s="3"/>
      <c r="G437" s="3"/>
      <c r="H437" s="3"/>
      <c r="I437" s="3"/>
    </row>
    <row r="438" s="10" customFormat="1">
      <c r="A438" s="3" t="s">
        <v>758</v>
      </c>
      <c r="B438" s="3" t="s">
        <v>757</v>
      </c>
      <c r="C438" s="3" t="s">
        <v>717</v>
      </c>
      <c r="D438" s="3" t="s">
        <v>717</v>
      </c>
      <c r="E438" s="3" t="s">
        <v>21</v>
      </c>
      <c r="F438" s="3" t="s">
        <v>22</v>
      </c>
      <c r="G438" s="3" t="s">
        <v>23</v>
      </c>
      <c r="H438" s="3" t="s">
        <v>24</v>
      </c>
      <c r="I438" s="3" t="s">
        <v>25</v>
      </c>
    </row>
    <row r="439" s="10" customFormat="1">
      <c r="A439" s="3" t="s">
        <v>759</v>
      </c>
      <c r="B439" s="3" t="s">
        <v>760</v>
      </c>
      <c r="C439" s="3" t="s">
        <v>717</v>
      </c>
      <c r="D439" s="3" t="s">
        <v>717</v>
      </c>
      <c r="E439" s="3" t="s">
        <v>21</v>
      </c>
      <c r="F439" s="3" t="s">
        <v>22</v>
      </c>
      <c r="G439" s="3" t="s">
        <v>24</v>
      </c>
      <c r="H439" s="3" t="s">
        <v>24</v>
      </c>
      <c r="I439" s="3" t="s">
        <v>25</v>
      </c>
    </row>
    <row r="440" s="10" customFormat="1">
      <c r="A440" s="3" t="s">
        <v>761</v>
      </c>
      <c r="B440" s="3" t="s">
        <v>762</v>
      </c>
      <c r="C440" s="3"/>
      <c r="D440" s="3"/>
      <c r="E440" s="3"/>
      <c r="F440" s="3"/>
      <c r="G440" s="3"/>
      <c r="H440" s="3"/>
      <c r="I440" s="3"/>
    </row>
    <row r="441" s="10" customFormat="1">
      <c r="A441" s="3" t="s">
        <v>763</v>
      </c>
      <c r="B441" s="3" t="s">
        <v>762</v>
      </c>
      <c r="C441" s="3" t="s">
        <v>717</v>
      </c>
      <c r="D441" s="3" t="s">
        <v>717</v>
      </c>
      <c r="E441" s="3" t="s">
        <v>21</v>
      </c>
      <c r="F441" s="3" t="s">
        <v>22</v>
      </c>
      <c r="G441" s="3" t="s">
        <v>23</v>
      </c>
      <c r="H441" s="3" t="s">
        <v>24</v>
      </c>
      <c r="I441" s="3" t="s">
        <v>25</v>
      </c>
    </row>
    <row r="442" s="10" customFormat="1">
      <c r="A442" s="3" t="s">
        <v>764</v>
      </c>
      <c r="B442" s="3" t="s">
        <v>765</v>
      </c>
      <c r="C442" s="3" t="s">
        <v>717</v>
      </c>
      <c r="D442" s="3" t="s">
        <v>717</v>
      </c>
      <c r="E442" s="3" t="s">
        <v>21</v>
      </c>
      <c r="F442" s="3" t="s">
        <v>22</v>
      </c>
      <c r="G442" s="3" t="s">
        <v>24</v>
      </c>
      <c r="H442" s="3" t="s">
        <v>24</v>
      </c>
      <c r="I442" s="3" t="s">
        <v>25</v>
      </c>
    </row>
    <row r="443" s="10" customFormat="1">
      <c r="A443" s="3" t="s">
        <v>766</v>
      </c>
      <c r="B443" s="3" t="s">
        <v>767</v>
      </c>
      <c r="C443" s="3"/>
      <c r="D443" s="3"/>
      <c r="E443" s="3"/>
      <c r="F443" s="3"/>
      <c r="G443" s="3"/>
      <c r="H443" s="3"/>
      <c r="I443" s="3"/>
    </row>
    <row r="444" s="10" customFormat="1">
      <c r="A444" s="3" t="s">
        <v>768</v>
      </c>
      <c r="B444" s="3" t="s">
        <v>767</v>
      </c>
      <c r="C444" s="3" t="s">
        <v>769</v>
      </c>
      <c r="D444" s="3" t="s">
        <v>717</v>
      </c>
      <c r="E444" s="3" t="s">
        <v>21</v>
      </c>
      <c r="F444" s="3" t="s">
        <v>22</v>
      </c>
      <c r="G444" s="3" t="s">
        <v>23</v>
      </c>
      <c r="H444" s="3" t="s">
        <v>24</v>
      </c>
      <c r="I444" s="3" t="s">
        <v>25</v>
      </c>
    </row>
    <row r="445" s="10" customFormat="1">
      <c r="A445" s="3" t="s">
        <v>770</v>
      </c>
      <c r="B445" s="3" t="s">
        <v>771</v>
      </c>
      <c r="C445" s="3"/>
      <c r="D445" s="3"/>
      <c r="E445" s="3"/>
      <c r="F445" s="3"/>
      <c r="G445" s="3"/>
      <c r="H445" s="3"/>
      <c r="I445" s="3"/>
    </row>
    <row r="446" s="10" customFormat="1">
      <c r="A446" s="3" t="s">
        <v>772</v>
      </c>
      <c r="B446" s="3" t="s">
        <v>773</v>
      </c>
      <c r="C446" s="3"/>
      <c r="D446" s="3"/>
      <c r="E446" s="3"/>
      <c r="F446" s="3"/>
      <c r="G446" s="3"/>
      <c r="H446" s="3"/>
      <c r="I446" s="3"/>
    </row>
    <row r="447" s="10" customFormat="1">
      <c r="A447" s="3" t="s">
        <v>774</v>
      </c>
      <c r="B447" s="3" t="s">
        <v>773</v>
      </c>
      <c r="C447" s="3" t="s">
        <v>717</v>
      </c>
      <c r="D447" s="3" t="s">
        <v>717</v>
      </c>
      <c r="E447" s="3" t="s">
        <v>21</v>
      </c>
      <c r="F447" s="3" t="s">
        <v>22</v>
      </c>
      <c r="G447" s="3" t="s">
        <v>23</v>
      </c>
      <c r="H447" s="3" t="s">
        <v>24</v>
      </c>
      <c r="I447" s="3" t="s">
        <v>25</v>
      </c>
    </row>
    <row r="448" s="10" customFormat="1">
      <c r="A448" s="3" t="s">
        <v>775</v>
      </c>
      <c r="B448" s="3" t="s">
        <v>776</v>
      </c>
      <c r="C448" s="3" t="s">
        <v>717</v>
      </c>
      <c r="D448" s="3" t="s">
        <v>717</v>
      </c>
      <c r="E448" s="3" t="s">
        <v>21</v>
      </c>
      <c r="F448" s="3" t="s">
        <v>22</v>
      </c>
      <c r="G448" s="3" t="s">
        <v>24</v>
      </c>
      <c r="H448" s="3" t="s">
        <v>24</v>
      </c>
      <c r="I448" s="3" t="s">
        <v>25</v>
      </c>
    </row>
    <row r="449" s="10" customFormat="1">
      <c r="A449" s="3" t="s">
        <v>777</v>
      </c>
      <c r="B449" s="3" t="s">
        <v>778</v>
      </c>
      <c r="C449" s="3"/>
      <c r="D449" s="3"/>
      <c r="E449" s="3"/>
      <c r="F449" s="3"/>
      <c r="G449" s="3"/>
      <c r="H449" s="3"/>
      <c r="I449" s="3"/>
    </row>
    <row r="450" s="10" customFormat="1">
      <c r="A450" s="3" t="s">
        <v>779</v>
      </c>
      <c r="B450" s="3" t="s">
        <v>780</v>
      </c>
      <c r="C450" s="3"/>
      <c r="D450" s="3"/>
      <c r="E450" s="3"/>
      <c r="F450" s="3"/>
      <c r="G450" s="3"/>
      <c r="H450" s="3"/>
      <c r="I450" s="3"/>
    </row>
    <row r="451" s="10" customFormat="1">
      <c r="A451" s="3" t="s">
        <v>781</v>
      </c>
      <c r="B451" s="3" t="s">
        <v>780</v>
      </c>
      <c r="C451" s="3" t="s">
        <v>717</v>
      </c>
      <c r="D451" s="3" t="s">
        <v>717</v>
      </c>
      <c r="E451" s="3" t="s">
        <v>21</v>
      </c>
      <c r="F451" s="3" t="s">
        <v>22</v>
      </c>
      <c r="G451" s="3" t="s">
        <v>23</v>
      </c>
      <c r="H451" s="3" t="s">
        <v>24</v>
      </c>
      <c r="I451" s="3" t="s">
        <v>25</v>
      </c>
    </row>
    <row r="452" s="10" customFormat="1">
      <c r="A452" s="3" t="s">
        <v>1444</v>
      </c>
      <c r="B452" s="3" t="s">
        <v>769</v>
      </c>
      <c r="C452" s="3" t="s">
        <v>717</v>
      </c>
      <c r="D452" s="3" t="s">
        <v>717</v>
      </c>
      <c r="E452" s="3" t="s">
        <v>1445</v>
      </c>
      <c r="F452" s="3" t="s">
        <v>22</v>
      </c>
      <c r="G452" s="3" t="s">
        <v>23</v>
      </c>
      <c r="H452" s="3" t="s">
        <v>24</v>
      </c>
      <c r="I452" s="3" t="s">
        <v>25</v>
      </c>
    </row>
    <row r="453" s="10" customFormat="1">
      <c r="A453" s="3" t="s">
        <v>782</v>
      </c>
      <c r="B453" s="3" t="s">
        <v>783</v>
      </c>
      <c r="C453" s="3" t="s">
        <v>717</v>
      </c>
      <c r="D453" s="3" t="s">
        <v>717</v>
      </c>
      <c r="E453" s="3" t="s">
        <v>21</v>
      </c>
      <c r="F453" s="3" t="s">
        <v>22</v>
      </c>
      <c r="G453" s="3" t="s">
        <v>23</v>
      </c>
      <c r="H453" s="3" t="s">
        <v>24</v>
      </c>
      <c r="I453" s="3" t="s">
        <v>25</v>
      </c>
    </row>
    <row r="454" s="10" customFormat="1">
      <c r="A454" s="3" t="s">
        <v>784</v>
      </c>
      <c r="B454" s="3" t="s">
        <v>785</v>
      </c>
      <c r="C454" s="3" t="s">
        <v>717</v>
      </c>
      <c r="D454" s="3" t="s">
        <v>717</v>
      </c>
      <c r="E454" s="3" t="s">
        <v>21</v>
      </c>
      <c r="F454" s="3" t="s">
        <v>22</v>
      </c>
      <c r="G454" s="3" t="s">
        <v>24</v>
      </c>
      <c r="H454" s="3" t="s">
        <v>24</v>
      </c>
      <c r="I454" s="3" t="s">
        <v>25</v>
      </c>
    </row>
    <row r="455" s="10" customFormat="1">
      <c r="A455" s="3" t="s">
        <v>786</v>
      </c>
      <c r="B455" s="3" t="s">
        <v>787</v>
      </c>
      <c r="C455" s="3"/>
      <c r="D455" s="3"/>
      <c r="E455" s="3"/>
      <c r="F455" s="3"/>
      <c r="G455" s="3"/>
      <c r="H455" s="3"/>
      <c r="I455" s="3"/>
    </row>
    <row r="456" s="10" customFormat="1">
      <c r="A456" s="3" t="s">
        <v>788</v>
      </c>
      <c r="B456" s="3" t="s">
        <v>787</v>
      </c>
      <c r="C456" s="3" t="s">
        <v>769</v>
      </c>
      <c r="D456" s="3" t="s">
        <v>717</v>
      </c>
      <c r="E456" s="3" t="s">
        <v>21</v>
      </c>
      <c r="F456" s="3" t="s">
        <v>22</v>
      </c>
      <c r="G456" s="3" t="s">
        <v>23</v>
      </c>
      <c r="H456" s="3" t="s">
        <v>24</v>
      </c>
      <c r="I456" s="3" t="s">
        <v>25</v>
      </c>
    </row>
    <row r="457" s="10" customFormat="1">
      <c r="A457" s="3" t="s">
        <v>789</v>
      </c>
      <c r="B457" s="3" t="s">
        <v>790</v>
      </c>
      <c r="C457" s="3"/>
      <c r="D457" s="3"/>
      <c r="E457" s="3"/>
      <c r="F457" s="3"/>
      <c r="G457" s="3"/>
      <c r="H457" s="3"/>
      <c r="I457" s="3"/>
    </row>
    <row r="458" s="10" customFormat="1">
      <c r="A458" s="3" t="s">
        <v>791</v>
      </c>
      <c r="B458" s="3" t="s">
        <v>790</v>
      </c>
      <c r="C458" s="3" t="s">
        <v>717</v>
      </c>
      <c r="D458" s="3" t="s">
        <v>717</v>
      </c>
      <c r="E458" s="3" t="s">
        <v>21</v>
      </c>
      <c r="F458" s="3" t="s">
        <v>22</v>
      </c>
      <c r="G458" s="3" t="s">
        <v>23</v>
      </c>
      <c r="H458" s="3" t="s">
        <v>24</v>
      </c>
      <c r="I458" s="3" t="s">
        <v>25</v>
      </c>
    </row>
    <row r="459" s="10" customFormat="1">
      <c r="A459" s="3" t="s">
        <v>792</v>
      </c>
      <c r="B459" s="3" t="s">
        <v>793</v>
      </c>
      <c r="C459" s="3" t="s">
        <v>717</v>
      </c>
      <c r="D459" s="3" t="s">
        <v>717</v>
      </c>
      <c r="E459" s="3" t="s">
        <v>21</v>
      </c>
      <c r="F459" s="3" t="s">
        <v>22</v>
      </c>
      <c r="G459" s="3" t="s">
        <v>24</v>
      </c>
      <c r="H459" s="3" t="s">
        <v>24</v>
      </c>
      <c r="I459" s="3" t="s">
        <v>25</v>
      </c>
    </row>
    <row r="460" s="10" customFormat="1">
      <c r="A460" s="3" t="s">
        <v>794</v>
      </c>
      <c r="B460" s="3" t="s">
        <v>795</v>
      </c>
      <c r="C460" s="3" t="s">
        <v>769</v>
      </c>
      <c r="D460" s="3" t="s">
        <v>717</v>
      </c>
      <c r="E460" s="3" t="s">
        <v>21</v>
      </c>
      <c r="F460" s="3" t="s">
        <v>22</v>
      </c>
      <c r="G460" s="3" t="s">
        <v>23</v>
      </c>
      <c r="H460" s="3" t="s">
        <v>24</v>
      </c>
      <c r="I460" s="3" t="s">
        <v>25</v>
      </c>
    </row>
    <row r="461" s="10" customFormat="1">
      <c r="A461" s="3" t="s">
        <v>796</v>
      </c>
      <c r="B461" s="3" t="s">
        <v>797</v>
      </c>
      <c r="C461" s="3"/>
      <c r="D461" s="3"/>
      <c r="E461" s="3"/>
      <c r="F461" s="3"/>
      <c r="G461" s="3"/>
      <c r="H461" s="3"/>
      <c r="I461" s="3"/>
    </row>
    <row r="462" s="10" customFormat="1">
      <c r="A462" s="3" t="s">
        <v>798</v>
      </c>
      <c r="B462" s="3" t="s">
        <v>241</v>
      </c>
      <c r="C462" s="3"/>
      <c r="D462" s="3"/>
      <c r="E462" s="3"/>
      <c r="F462" s="3"/>
      <c r="G462" s="3"/>
      <c r="H462" s="3"/>
      <c r="I462" s="3"/>
    </row>
    <row r="463" s="10" customFormat="1">
      <c r="A463" s="3" t="s">
        <v>799</v>
      </c>
      <c r="B463" s="3" t="s">
        <v>800</v>
      </c>
      <c r="C463" s="3"/>
      <c r="D463" s="3"/>
      <c r="E463" s="3"/>
      <c r="F463" s="3"/>
      <c r="G463" s="3"/>
      <c r="H463" s="3"/>
      <c r="I463" s="3"/>
    </row>
    <row r="464" s="10" customFormat="1">
      <c r="A464" s="3" t="s">
        <v>801</v>
      </c>
      <c r="B464" s="3" t="s">
        <v>802</v>
      </c>
      <c r="C464" s="3" t="s">
        <v>717</v>
      </c>
      <c r="D464" s="3" t="s">
        <v>717</v>
      </c>
      <c r="E464" s="3" t="s">
        <v>21</v>
      </c>
      <c r="F464" s="3" t="s">
        <v>22</v>
      </c>
      <c r="G464" s="3" t="s">
        <v>23</v>
      </c>
      <c r="H464" s="3" t="s">
        <v>24</v>
      </c>
      <c r="I464" s="3" t="s">
        <v>25</v>
      </c>
    </row>
    <row r="465" s="10" customFormat="1">
      <c r="A465" s="3" t="s">
        <v>803</v>
      </c>
      <c r="B465" s="3" t="s">
        <v>804</v>
      </c>
      <c r="C465" s="3" t="s">
        <v>717</v>
      </c>
      <c r="D465" s="3" t="s">
        <v>717</v>
      </c>
      <c r="E465" s="3" t="s">
        <v>21</v>
      </c>
      <c r="F465" s="3" t="s">
        <v>22</v>
      </c>
      <c r="G465" s="3" t="s">
        <v>24</v>
      </c>
      <c r="H465" s="3" t="s">
        <v>24</v>
      </c>
      <c r="I465" s="3" t="s">
        <v>25</v>
      </c>
    </row>
    <row r="466" s="10" customFormat="1">
      <c r="A466" s="3" t="s">
        <v>805</v>
      </c>
      <c r="B466" s="3" t="s">
        <v>806</v>
      </c>
      <c r="C466" s="3"/>
      <c r="D466" s="3"/>
      <c r="E466" s="3"/>
      <c r="F466" s="3"/>
      <c r="G466" s="3"/>
      <c r="H466" s="3"/>
      <c r="I466" s="3"/>
    </row>
    <row r="467" s="10" customFormat="1">
      <c r="A467" s="3" t="s">
        <v>807</v>
      </c>
      <c r="B467" s="3" t="s">
        <v>806</v>
      </c>
      <c r="C467" s="3" t="s">
        <v>717</v>
      </c>
      <c r="D467" s="3" t="s">
        <v>717</v>
      </c>
      <c r="E467" s="3" t="s">
        <v>21</v>
      </c>
      <c r="F467" s="3" t="s">
        <v>22</v>
      </c>
      <c r="G467" s="3" t="s">
        <v>23</v>
      </c>
      <c r="H467" s="3" t="s">
        <v>24</v>
      </c>
      <c r="I467" s="3" t="s">
        <v>25</v>
      </c>
    </row>
    <row r="468" s="10" customFormat="1">
      <c r="A468" s="3" t="s">
        <v>808</v>
      </c>
      <c r="B468" s="3" t="s">
        <v>809</v>
      </c>
      <c r="C468" s="3" t="s">
        <v>717</v>
      </c>
      <c r="D468" s="3" t="s">
        <v>717</v>
      </c>
      <c r="E468" s="3" t="s">
        <v>21</v>
      </c>
      <c r="F468" s="3" t="s">
        <v>22</v>
      </c>
      <c r="G468" s="3" t="s">
        <v>24</v>
      </c>
      <c r="H468" s="3" t="s">
        <v>24</v>
      </c>
      <c r="I468" s="3" t="s">
        <v>25</v>
      </c>
    </row>
    <row r="469" s="10" customFormat="1">
      <c r="A469" s="3" t="s">
        <v>810</v>
      </c>
      <c r="B469" s="3" t="s">
        <v>811</v>
      </c>
      <c r="C469" s="3"/>
      <c r="D469" s="3"/>
      <c r="E469" s="3"/>
      <c r="F469" s="3"/>
      <c r="G469" s="3"/>
      <c r="H469" s="3"/>
      <c r="I469" s="3"/>
    </row>
    <row r="470" s="10" customFormat="1">
      <c r="A470" s="3" t="s">
        <v>812</v>
      </c>
      <c r="B470" s="3" t="s">
        <v>813</v>
      </c>
      <c r="C470" s="3"/>
      <c r="D470" s="3"/>
      <c r="E470" s="3"/>
      <c r="F470" s="3"/>
      <c r="G470" s="3"/>
      <c r="H470" s="3"/>
      <c r="I470" s="3"/>
    </row>
    <row r="471" s="10" customFormat="1">
      <c r="A471" s="3" t="s">
        <v>814</v>
      </c>
      <c r="B471" s="3" t="s">
        <v>813</v>
      </c>
      <c r="C471" s="3"/>
      <c r="D471" s="3"/>
      <c r="E471" s="3"/>
      <c r="F471" s="3"/>
      <c r="G471" s="3"/>
      <c r="H471" s="3"/>
      <c r="I471" s="3"/>
    </row>
    <row r="472" s="10" customFormat="1">
      <c r="A472" s="3" t="s">
        <v>815</v>
      </c>
      <c r="B472" s="3" t="s">
        <v>813</v>
      </c>
      <c r="C472" s="3" t="s">
        <v>717</v>
      </c>
      <c r="D472" s="3" t="s">
        <v>717</v>
      </c>
      <c r="E472" s="3" t="s">
        <v>21</v>
      </c>
      <c r="F472" s="3" t="s">
        <v>22</v>
      </c>
      <c r="G472" s="3" t="s">
        <v>23</v>
      </c>
      <c r="H472" s="3" t="s">
        <v>24</v>
      </c>
      <c r="I472" s="3" t="s">
        <v>25</v>
      </c>
    </row>
    <row r="473" s="10" customFormat="1">
      <c r="A473" s="3" t="s">
        <v>816</v>
      </c>
      <c r="B473" s="3" t="s">
        <v>817</v>
      </c>
      <c r="C473" s="3" t="s">
        <v>717</v>
      </c>
      <c r="D473" s="3" t="s">
        <v>717</v>
      </c>
      <c r="E473" s="3" t="s">
        <v>21</v>
      </c>
      <c r="F473" s="3" t="s">
        <v>22</v>
      </c>
      <c r="G473" s="3" t="s">
        <v>24</v>
      </c>
      <c r="H473" s="3" t="s">
        <v>24</v>
      </c>
      <c r="I473" s="3" t="s">
        <v>25</v>
      </c>
    </row>
    <row r="474" s="10" customFormat="1">
      <c r="A474" s="3" t="s">
        <v>818</v>
      </c>
      <c r="B474" s="3" t="s">
        <v>819</v>
      </c>
      <c r="C474" s="3"/>
      <c r="D474" s="3"/>
      <c r="E474" s="3"/>
      <c r="F474" s="3"/>
      <c r="G474" s="3"/>
      <c r="H474" s="3"/>
      <c r="I474" s="3"/>
    </row>
    <row r="475" s="10" customFormat="1">
      <c r="A475" s="3" t="s">
        <v>820</v>
      </c>
      <c r="B475" s="3" t="s">
        <v>821</v>
      </c>
      <c r="C475" s="3"/>
      <c r="D475" s="3"/>
      <c r="E475" s="3"/>
      <c r="F475" s="3"/>
      <c r="G475" s="3"/>
      <c r="H475" s="3"/>
      <c r="I475" s="3"/>
    </row>
    <row r="476" s="10" customFormat="1">
      <c r="A476" s="3" t="s">
        <v>822</v>
      </c>
      <c r="B476" s="3" t="s">
        <v>823</v>
      </c>
      <c r="C476" s="3" t="s">
        <v>717</v>
      </c>
      <c r="D476" s="3" t="s">
        <v>717</v>
      </c>
      <c r="E476" s="3" t="s">
        <v>21</v>
      </c>
      <c r="F476" s="3" t="s">
        <v>22</v>
      </c>
      <c r="G476" s="3" t="s">
        <v>23</v>
      </c>
      <c r="H476" s="3" t="s">
        <v>24</v>
      </c>
      <c r="I476" s="3" t="s">
        <v>25</v>
      </c>
    </row>
    <row r="477" s="10" customFormat="1">
      <c r="A477" s="3" t="s">
        <v>824</v>
      </c>
      <c r="B477" s="3" t="s">
        <v>825</v>
      </c>
      <c r="C477" s="3" t="s">
        <v>717</v>
      </c>
      <c r="D477" s="3" t="s">
        <v>717</v>
      </c>
      <c r="E477" s="3" t="s">
        <v>21</v>
      </c>
      <c r="F477" s="3" t="s">
        <v>22</v>
      </c>
      <c r="G477" s="3" t="s">
        <v>24</v>
      </c>
      <c r="H477" s="3" t="s">
        <v>24</v>
      </c>
      <c r="I477" s="3" t="s">
        <v>25</v>
      </c>
    </row>
    <row r="478" s="10" customFormat="1">
      <c r="A478" s="3" t="s">
        <v>826</v>
      </c>
      <c r="B478" s="3" t="s">
        <v>827</v>
      </c>
      <c r="C478" s="3"/>
      <c r="D478" s="3"/>
      <c r="E478" s="3"/>
      <c r="F478" s="3"/>
      <c r="G478" s="3"/>
      <c r="H478" s="3"/>
      <c r="I478" s="3"/>
    </row>
    <row r="479" s="10" customFormat="1">
      <c r="A479" s="3" t="s">
        <v>828</v>
      </c>
      <c r="B479" s="3" t="s">
        <v>829</v>
      </c>
      <c r="C479" s="3"/>
      <c r="D479" s="3"/>
      <c r="E479" s="3"/>
      <c r="F479" s="3"/>
      <c r="G479" s="3"/>
      <c r="H479" s="3"/>
      <c r="I479" s="3"/>
    </row>
    <row r="480" s="10" customFormat="1">
      <c r="A480" s="3" t="s">
        <v>830</v>
      </c>
      <c r="B480" s="3" t="s">
        <v>831</v>
      </c>
      <c r="C480" s="3"/>
      <c r="D480" s="3"/>
      <c r="E480" s="3"/>
      <c r="F480" s="3"/>
      <c r="G480" s="3"/>
      <c r="H480" s="3"/>
      <c r="I480" s="3"/>
    </row>
    <row r="481" s="10" customFormat="1">
      <c r="A481" s="3" t="s">
        <v>832</v>
      </c>
      <c r="B481" s="3" t="s">
        <v>833</v>
      </c>
      <c r="C481" s="3"/>
      <c r="D481" s="3"/>
      <c r="E481" s="3"/>
      <c r="F481" s="3"/>
      <c r="G481" s="3"/>
      <c r="H481" s="3"/>
      <c r="I481" s="3"/>
    </row>
    <row r="482" s="10" customFormat="1">
      <c r="A482" s="3" t="s">
        <v>834</v>
      </c>
      <c r="B482" s="3" t="s">
        <v>833</v>
      </c>
      <c r="C482" s="3" t="s">
        <v>835</v>
      </c>
      <c r="D482" s="3" t="s">
        <v>836</v>
      </c>
      <c r="E482" s="3" t="s">
        <v>21</v>
      </c>
      <c r="F482" s="3" t="s">
        <v>22</v>
      </c>
      <c r="G482" s="3" t="s">
        <v>23</v>
      </c>
      <c r="H482" s="3" t="s">
        <v>24</v>
      </c>
      <c r="I482" s="3" t="s">
        <v>25</v>
      </c>
    </row>
    <row r="483" s="10" customFormat="1">
      <c r="A483" s="3" t="s">
        <v>837</v>
      </c>
      <c r="B483" s="3" t="s">
        <v>838</v>
      </c>
      <c r="C483" s="3" t="s">
        <v>835</v>
      </c>
      <c r="D483" s="3" t="s">
        <v>836</v>
      </c>
      <c r="E483" s="3" t="s">
        <v>21</v>
      </c>
      <c r="F483" s="3" t="s">
        <v>22</v>
      </c>
      <c r="G483" s="3" t="s">
        <v>24</v>
      </c>
      <c r="H483" s="3" t="s">
        <v>24</v>
      </c>
      <c r="I483" s="3" t="s">
        <v>25</v>
      </c>
    </row>
    <row r="484" s="10" customFormat="1">
      <c r="A484" s="3" t="s">
        <v>839</v>
      </c>
      <c r="B484" s="3" t="s">
        <v>840</v>
      </c>
      <c r="C484" s="3"/>
      <c r="D484" s="3"/>
      <c r="E484" s="3"/>
      <c r="F484" s="3"/>
      <c r="G484" s="3"/>
      <c r="H484" s="3"/>
      <c r="I484" s="3"/>
    </row>
    <row r="485" s="10" customFormat="1">
      <c r="A485" s="3" t="s">
        <v>841</v>
      </c>
      <c r="B485" s="3" t="s">
        <v>840</v>
      </c>
      <c r="C485" s="3" t="s">
        <v>835</v>
      </c>
      <c r="D485" s="3" t="s">
        <v>836</v>
      </c>
      <c r="E485" s="3" t="s">
        <v>21</v>
      </c>
      <c r="F485" s="3" t="s">
        <v>22</v>
      </c>
      <c r="G485" s="3" t="s">
        <v>23</v>
      </c>
      <c r="H485" s="3" t="s">
        <v>24</v>
      </c>
      <c r="I485" s="3" t="s">
        <v>25</v>
      </c>
    </row>
    <row r="486" s="10" customFormat="1">
      <c r="A486" s="3" t="s">
        <v>842</v>
      </c>
      <c r="B486" s="3" t="s">
        <v>843</v>
      </c>
      <c r="C486" s="3" t="s">
        <v>835</v>
      </c>
      <c r="D486" s="3" t="s">
        <v>836</v>
      </c>
      <c r="E486" s="3" t="s">
        <v>21</v>
      </c>
      <c r="F486" s="3" t="s">
        <v>22</v>
      </c>
      <c r="G486" s="3" t="s">
        <v>24</v>
      </c>
      <c r="H486" s="3" t="s">
        <v>24</v>
      </c>
      <c r="I486" s="3" t="s">
        <v>25</v>
      </c>
    </row>
    <row r="487" s="10" customFormat="1">
      <c r="A487" s="3" t="s">
        <v>844</v>
      </c>
      <c r="B487" s="3" t="s">
        <v>845</v>
      </c>
      <c r="C487" s="3"/>
      <c r="D487" s="3"/>
      <c r="E487" s="3"/>
      <c r="F487" s="3"/>
      <c r="G487" s="3"/>
      <c r="H487" s="3"/>
      <c r="I487" s="3"/>
    </row>
    <row r="488" s="10" customFormat="1">
      <c r="A488" s="3" t="s">
        <v>846</v>
      </c>
      <c r="B488" s="3" t="s">
        <v>845</v>
      </c>
      <c r="C488" s="3" t="s">
        <v>835</v>
      </c>
      <c r="D488" s="3" t="s">
        <v>836</v>
      </c>
      <c r="E488" s="3" t="s">
        <v>21</v>
      </c>
      <c r="F488" s="3" t="s">
        <v>22</v>
      </c>
      <c r="G488" s="3" t="s">
        <v>23</v>
      </c>
      <c r="H488" s="3" t="s">
        <v>24</v>
      </c>
      <c r="I488" s="3" t="s">
        <v>25</v>
      </c>
    </row>
    <row r="489" s="10" customFormat="1">
      <c r="A489" s="3" t="s">
        <v>847</v>
      </c>
      <c r="B489" s="3" t="s">
        <v>848</v>
      </c>
      <c r="C489" s="3" t="s">
        <v>835</v>
      </c>
      <c r="D489" s="3" t="s">
        <v>836</v>
      </c>
      <c r="E489" s="3" t="s">
        <v>21</v>
      </c>
      <c r="F489" s="3" t="s">
        <v>22</v>
      </c>
      <c r="G489" s="3" t="s">
        <v>24</v>
      </c>
      <c r="H489" s="3" t="s">
        <v>24</v>
      </c>
      <c r="I489" s="3" t="s">
        <v>25</v>
      </c>
    </row>
    <row r="490" s="10" customFormat="1">
      <c r="A490" s="3" t="s">
        <v>849</v>
      </c>
      <c r="B490" s="3" t="s">
        <v>850</v>
      </c>
      <c r="C490" s="3"/>
      <c r="D490" s="3"/>
      <c r="E490" s="3"/>
      <c r="F490" s="3"/>
      <c r="G490" s="3"/>
      <c r="H490" s="3"/>
      <c r="I490" s="3"/>
    </row>
    <row r="491" s="10" customFormat="1">
      <c r="A491" s="3" t="s">
        <v>851</v>
      </c>
      <c r="B491" s="3" t="s">
        <v>850</v>
      </c>
      <c r="C491" s="3" t="s">
        <v>835</v>
      </c>
      <c r="D491" s="3" t="s">
        <v>836</v>
      </c>
      <c r="E491" s="3" t="s">
        <v>21</v>
      </c>
      <c r="F491" s="3" t="s">
        <v>22</v>
      </c>
      <c r="G491" s="3" t="s">
        <v>23</v>
      </c>
      <c r="H491" s="3" t="s">
        <v>24</v>
      </c>
      <c r="I491" s="3" t="s">
        <v>25</v>
      </c>
    </row>
    <row r="492" s="10" customFormat="1">
      <c r="A492" s="3" t="s">
        <v>852</v>
      </c>
      <c r="B492" s="3" t="s">
        <v>853</v>
      </c>
      <c r="C492" s="3" t="s">
        <v>835</v>
      </c>
      <c r="D492" s="3" t="s">
        <v>836</v>
      </c>
      <c r="E492" s="3" t="s">
        <v>21</v>
      </c>
      <c r="F492" s="3" t="s">
        <v>22</v>
      </c>
      <c r="G492" s="3" t="s">
        <v>24</v>
      </c>
      <c r="H492" s="3" t="s">
        <v>24</v>
      </c>
      <c r="I492" s="3" t="s">
        <v>25</v>
      </c>
    </row>
    <row r="493" s="10" customFormat="1">
      <c r="A493" s="3" t="s">
        <v>854</v>
      </c>
      <c r="B493" s="3" t="s">
        <v>220</v>
      </c>
      <c r="C493" s="3"/>
      <c r="D493" s="3"/>
      <c r="E493" s="3"/>
      <c r="F493" s="3"/>
      <c r="G493" s="3"/>
      <c r="H493" s="3"/>
      <c r="I493" s="3"/>
    </row>
    <row r="494" s="10" customFormat="1">
      <c r="A494" s="3" t="s">
        <v>855</v>
      </c>
      <c r="B494" s="3" t="s">
        <v>220</v>
      </c>
      <c r="C494" s="3" t="s">
        <v>835</v>
      </c>
      <c r="D494" s="3" t="s">
        <v>836</v>
      </c>
      <c r="E494" s="3" t="s">
        <v>21</v>
      </c>
      <c r="F494" s="3" t="s">
        <v>22</v>
      </c>
      <c r="G494" s="3" t="s">
        <v>23</v>
      </c>
      <c r="H494" s="3" t="s">
        <v>24</v>
      </c>
      <c r="I494" s="3" t="s">
        <v>25</v>
      </c>
    </row>
    <row r="495" s="10" customFormat="1">
      <c r="A495" s="3" t="s">
        <v>856</v>
      </c>
      <c r="B495" s="3" t="s">
        <v>857</v>
      </c>
      <c r="C495" s="3" t="s">
        <v>835</v>
      </c>
      <c r="D495" s="3" t="s">
        <v>836</v>
      </c>
      <c r="E495" s="3" t="s">
        <v>21</v>
      </c>
      <c r="F495" s="3" t="s">
        <v>22</v>
      </c>
      <c r="G495" s="3" t="s">
        <v>24</v>
      </c>
      <c r="H495" s="3" t="s">
        <v>24</v>
      </c>
      <c r="I495" s="3" t="s">
        <v>25</v>
      </c>
    </row>
    <row r="496" s="10" customFormat="1">
      <c r="A496" s="3" t="s">
        <v>858</v>
      </c>
      <c r="B496" s="3" t="s">
        <v>859</v>
      </c>
      <c r="C496" s="3"/>
      <c r="D496" s="3"/>
      <c r="E496" s="3"/>
      <c r="F496" s="3"/>
      <c r="G496" s="3"/>
      <c r="H496" s="3"/>
      <c r="I496" s="3"/>
    </row>
    <row r="497" s="10" customFormat="1">
      <c r="A497" s="3" t="s">
        <v>860</v>
      </c>
      <c r="B497" s="3" t="s">
        <v>859</v>
      </c>
      <c r="C497" s="3" t="s">
        <v>835</v>
      </c>
      <c r="D497" s="3" t="s">
        <v>836</v>
      </c>
      <c r="E497" s="3" t="s">
        <v>21</v>
      </c>
      <c r="F497" s="3" t="s">
        <v>22</v>
      </c>
      <c r="G497" s="3" t="s">
        <v>23</v>
      </c>
      <c r="H497" s="3" t="s">
        <v>24</v>
      </c>
      <c r="I497" s="3" t="s">
        <v>25</v>
      </c>
    </row>
    <row r="498" s="10" customFormat="1">
      <c r="A498" s="3" t="s">
        <v>861</v>
      </c>
      <c r="B498" s="3" t="s">
        <v>862</v>
      </c>
      <c r="C498" s="3" t="s">
        <v>835</v>
      </c>
      <c r="D498" s="3" t="s">
        <v>836</v>
      </c>
      <c r="E498" s="3" t="s">
        <v>21</v>
      </c>
      <c r="F498" s="3" t="s">
        <v>22</v>
      </c>
      <c r="G498" s="3" t="s">
        <v>24</v>
      </c>
      <c r="H498" s="3" t="s">
        <v>24</v>
      </c>
      <c r="I498" s="3" t="s">
        <v>25</v>
      </c>
    </row>
    <row r="499" s="10" customFormat="1">
      <c r="A499" s="3" t="s">
        <v>863</v>
      </c>
      <c r="B499" s="3" t="s">
        <v>636</v>
      </c>
      <c r="C499" s="3"/>
      <c r="D499" s="3"/>
      <c r="E499" s="3"/>
      <c r="F499" s="3"/>
      <c r="G499" s="3"/>
      <c r="H499" s="3"/>
      <c r="I499" s="3"/>
    </row>
    <row r="500" s="10" customFormat="1">
      <c r="A500" s="3" t="s">
        <v>864</v>
      </c>
      <c r="B500" s="3" t="s">
        <v>636</v>
      </c>
      <c r="C500" s="3" t="s">
        <v>835</v>
      </c>
      <c r="D500" s="3" t="s">
        <v>836</v>
      </c>
      <c r="E500" s="3" t="s">
        <v>21</v>
      </c>
      <c r="F500" s="3" t="s">
        <v>22</v>
      </c>
      <c r="G500" s="3" t="s">
        <v>23</v>
      </c>
      <c r="H500" s="3" t="s">
        <v>24</v>
      </c>
      <c r="I500" s="3" t="s">
        <v>25</v>
      </c>
    </row>
    <row r="501" s="10" customFormat="1">
      <c r="A501" s="3" t="s">
        <v>865</v>
      </c>
      <c r="B501" s="3" t="s">
        <v>866</v>
      </c>
      <c r="C501" s="3" t="s">
        <v>835</v>
      </c>
      <c r="D501" s="3" t="s">
        <v>836</v>
      </c>
      <c r="E501" s="3" t="s">
        <v>21</v>
      </c>
      <c r="F501" s="3" t="s">
        <v>22</v>
      </c>
      <c r="G501" s="3" t="s">
        <v>24</v>
      </c>
      <c r="H501" s="3" t="s">
        <v>24</v>
      </c>
      <c r="I501" s="3" t="s">
        <v>25</v>
      </c>
    </row>
    <row r="502" s="10" customFormat="1">
      <c r="A502" s="3" t="s">
        <v>867</v>
      </c>
      <c r="B502" s="3" t="s">
        <v>640</v>
      </c>
      <c r="C502" s="3"/>
      <c r="D502" s="3"/>
      <c r="E502" s="3"/>
      <c r="F502" s="3"/>
      <c r="G502" s="3"/>
      <c r="H502" s="3"/>
      <c r="I502" s="3"/>
    </row>
    <row r="503" s="10" customFormat="1">
      <c r="A503" s="3" t="s">
        <v>868</v>
      </c>
      <c r="B503" s="3" t="s">
        <v>640</v>
      </c>
      <c r="C503" s="3" t="s">
        <v>835</v>
      </c>
      <c r="D503" s="3" t="s">
        <v>836</v>
      </c>
      <c r="E503" s="3" t="s">
        <v>21</v>
      </c>
      <c r="F503" s="3" t="s">
        <v>22</v>
      </c>
      <c r="G503" s="3" t="s">
        <v>23</v>
      </c>
      <c r="H503" s="3" t="s">
        <v>24</v>
      </c>
      <c r="I503" s="3" t="s">
        <v>25</v>
      </c>
    </row>
    <row r="504" s="10" customFormat="1">
      <c r="A504" s="3" t="s">
        <v>869</v>
      </c>
      <c r="B504" s="3" t="s">
        <v>870</v>
      </c>
      <c r="C504" s="3" t="s">
        <v>835</v>
      </c>
      <c r="D504" s="3" t="s">
        <v>836</v>
      </c>
      <c r="E504" s="3" t="s">
        <v>21</v>
      </c>
      <c r="F504" s="3" t="s">
        <v>22</v>
      </c>
      <c r="G504" s="3" t="s">
        <v>24</v>
      </c>
      <c r="H504" s="3" t="s">
        <v>24</v>
      </c>
      <c r="I504" s="3" t="s">
        <v>25</v>
      </c>
    </row>
    <row r="505" s="10" customFormat="1">
      <c r="A505" s="3" t="s">
        <v>871</v>
      </c>
      <c r="B505" s="3" t="s">
        <v>648</v>
      </c>
      <c r="C505" s="3"/>
      <c r="D505" s="3"/>
      <c r="E505" s="3"/>
      <c r="F505" s="3"/>
      <c r="G505" s="3"/>
      <c r="H505" s="3"/>
      <c r="I505" s="3"/>
    </row>
    <row r="506" s="10" customFormat="1">
      <c r="A506" s="3" t="s">
        <v>872</v>
      </c>
      <c r="B506" s="3" t="s">
        <v>648</v>
      </c>
      <c r="C506" s="3" t="s">
        <v>835</v>
      </c>
      <c r="D506" s="3" t="s">
        <v>836</v>
      </c>
      <c r="E506" s="3" t="s">
        <v>21</v>
      </c>
      <c r="F506" s="3" t="s">
        <v>22</v>
      </c>
      <c r="G506" s="3" t="s">
        <v>23</v>
      </c>
      <c r="H506" s="3" t="s">
        <v>24</v>
      </c>
      <c r="I506" s="3" t="s">
        <v>25</v>
      </c>
    </row>
    <row r="507" s="10" customFormat="1">
      <c r="A507" s="3" t="s">
        <v>873</v>
      </c>
      <c r="B507" s="3" t="s">
        <v>874</v>
      </c>
      <c r="C507" s="3" t="s">
        <v>835</v>
      </c>
      <c r="D507" s="3" t="s">
        <v>836</v>
      </c>
      <c r="E507" s="3" t="s">
        <v>21</v>
      </c>
      <c r="F507" s="3" t="s">
        <v>22</v>
      </c>
      <c r="G507" s="3" t="s">
        <v>24</v>
      </c>
      <c r="H507" s="3" t="s">
        <v>24</v>
      </c>
      <c r="I507" s="3" t="s">
        <v>25</v>
      </c>
    </row>
    <row r="508" s="10" customFormat="1">
      <c r="A508" s="3" t="s">
        <v>875</v>
      </c>
      <c r="B508" s="3" t="s">
        <v>644</v>
      </c>
      <c r="C508" s="3"/>
      <c r="D508" s="3"/>
      <c r="E508" s="3"/>
      <c r="F508" s="3"/>
      <c r="G508" s="3"/>
      <c r="H508" s="3"/>
      <c r="I508" s="3"/>
    </row>
    <row r="509" s="10" customFormat="1">
      <c r="A509" s="3" t="s">
        <v>876</v>
      </c>
      <c r="B509" s="3" t="s">
        <v>644</v>
      </c>
      <c r="C509" s="3" t="s">
        <v>835</v>
      </c>
      <c r="D509" s="3" t="s">
        <v>836</v>
      </c>
      <c r="E509" s="3" t="s">
        <v>21</v>
      </c>
      <c r="F509" s="3" t="s">
        <v>22</v>
      </c>
      <c r="G509" s="3" t="s">
        <v>23</v>
      </c>
      <c r="H509" s="3" t="s">
        <v>24</v>
      </c>
      <c r="I509" s="3" t="s">
        <v>25</v>
      </c>
    </row>
    <row r="510" s="10" customFormat="1">
      <c r="A510" s="3" t="s">
        <v>877</v>
      </c>
      <c r="B510" s="3" t="s">
        <v>878</v>
      </c>
      <c r="C510" s="3" t="s">
        <v>835</v>
      </c>
      <c r="D510" s="3" t="s">
        <v>836</v>
      </c>
      <c r="E510" s="3" t="s">
        <v>21</v>
      </c>
      <c r="F510" s="3" t="s">
        <v>22</v>
      </c>
      <c r="G510" s="3" t="s">
        <v>24</v>
      </c>
      <c r="H510" s="3" t="s">
        <v>24</v>
      </c>
      <c r="I510" s="3" t="s">
        <v>25</v>
      </c>
    </row>
    <row r="511" s="10" customFormat="1">
      <c r="A511" s="3" t="s">
        <v>879</v>
      </c>
      <c r="B511" s="3" t="s">
        <v>880</v>
      </c>
      <c r="C511" s="3"/>
      <c r="D511" s="3"/>
      <c r="E511" s="3"/>
      <c r="F511" s="3"/>
      <c r="G511" s="3"/>
      <c r="H511" s="3"/>
      <c r="I511" s="3"/>
    </row>
    <row r="512" s="10" customFormat="1">
      <c r="A512" s="3" t="s">
        <v>881</v>
      </c>
      <c r="B512" s="3" t="s">
        <v>882</v>
      </c>
      <c r="C512" s="3" t="s">
        <v>835</v>
      </c>
      <c r="D512" s="3" t="s">
        <v>836</v>
      </c>
      <c r="E512" s="3" t="s">
        <v>21</v>
      </c>
      <c r="F512" s="3" t="s">
        <v>22</v>
      </c>
      <c r="G512" s="3" t="s">
        <v>23</v>
      </c>
      <c r="H512" s="3" t="s">
        <v>24</v>
      </c>
      <c r="I512" s="3" t="s">
        <v>25</v>
      </c>
    </row>
    <row r="513" s="10" customFormat="1">
      <c r="A513" s="3" t="s">
        <v>883</v>
      </c>
      <c r="B513" s="3" t="s">
        <v>884</v>
      </c>
      <c r="C513" s="3" t="s">
        <v>835</v>
      </c>
      <c r="D513" s="3" t="s">
        <v>836</v>
      </c>
      <c r="E513" s="3" t="s">
        <v>21</v>
      </c>
      <c r="F513" s="3" t="s">
        <v>22</v>
      </c>
      <c r="G513" s="3" t="s">
        <v>23</v>
      </c>
      <c r="H513" s="3" t="s">
        <v>24</v>
      </c>
      <c r="I513" s="3" t="s">
        <v>25</v>
      </c>
    </row>
    <row r="514" s="10" customFormat="1">
      <c r="A514" s="3" t="s">
        <v>885</v>
      </c>
      <c r="B514" s="3" t="s">
        <v>886</v>
      </c>
      <c r="C514" s="3" t="s">
        <v>835</v>
      </c>
      <c r="D514" s="3" t="s">
        <v>836</v>
      </c>
      <c r="E514" s="3" t="s">
        <v>21</v>
      </c>
      <c r="F514" s="3" t="s">
        <v>22</v>
      </c>
      <c r="G514" s="3" t="s">
        <v>24</v>
      </c>
      <c r="H514" s="3" t="s">
        <v>24</v>
      </c>
      <c r="I514" s="3" t="s">
        <v>25</v>
      </c>
    </row>
    <row r="515" s="10" customFormat="1">
      <c r="A515" s="3" t="s">
        <v>887</v>
      </c>
      <c r="B515" s="3" t="s">
        <v>888</v>
      </c>
      <c r="C515" s="3"/>
      <c r="D515" s="3"/>
      <c r="E515" s="3"/>
      <c r="F515" s="3"/>
      <c r="G515" s="3"/>
      <c r="H515" s="3"/>
      <c r="I515" s="3"/>
    </row>
    <row r="516" s="10" customFormat="1">
      <c r="A516" s="3" t="s">
        <v>889</v>
      </c>
      <c r="B516" s="3" t="s">
        <v>888</v>
      </c>
      <c r="C516" s="3" t="s">
        <v>835</v>
      </c>
      <c r="D516" s="3" t="s">
        <v>836</v>
      </c>
      <c r="E516" s="3" t="s">
        <v>21</v>
      </c>
      <c r="F516" s="3" t="s">
        <v>22</v>
      </c>
      <c r="G516" s="3" t="s">
        <v>23</v>
      </c>
      <c r="H516" s="3" t="s">
        <v>24</v>
      </c>
      <c r="I516" s="3" t="s">
        <v>25</v>
      </c>
    </row>
    <row r="517" s="10" customFormat="1">
      <c r="A517" s="3" t="s">
        <v>890</v>
      </c>
      <c r="B517" s="3" t="s">
        <v>891</v>
      </c>
      <c r="C517" s="3" t="s">
        <v>835</v>
      </c>
      <c r="D517" s="3" t="s">
        <v>836</v>
      </c>
      <c r="E517" s="3" t="s">
        <v>21</v>
      </c>
      <c r="F517" s="3" t="s">
        <v>22</v>
      </c>
      <c r="G517" s="3" t="s">
        <v>24</v>
      </c>
      <c r="H517" s="3" t="s">
        <v>24</v>
      </c>
      <c r="I517" s="3" t="s">
        <v>25</v>
      </c>
    </row>
    <row r="518" s="10" customFormat="1">
      <c r="A518" s="3" t="s">
        <v>892</v>
      </c>
      <c r="B518" s="3" t="s">
        <v>893</v>
      </c>
      <c r="C518" s="3"/>
      <c r="D518" s="3"/>
      <c r="E518" s="3"/>
      <c r="F518" s="3"/>
      <c r="G518" s="3"/>
      <c r="H518" s="3"/>
      <c r="I518" s="3"/>
    </row>
    <row r="519" s="10" customFormat="1">
      <c r="A519" s="3" t="s">
        <v>894</v>
      </c>
      <c r="B519" s="3" t="s">
        <v>893</v>
      </c>
      <c r="C519" s="3" t="s">
        <v>835</v>
      </c>
      <c r="D519" s="3" t="s">
        <v>836</v>
      </c>
      <c r="E519" s="3" t="s">
        <v>21</v>
      </c>
      <c r="F519" s="3" t="s">
        <v>22</v>
      </c>
      <c r="G519" s="3" t="s">
        <v>23</v>
      </c>
      <c r="H519" s="3" t="s">
        <v>24</v>
      </c>
      <c r="I519" s="3" t="s">
        <v>25</v>
      </c>
    </row>
    <row r="520" s="10" customFormat="1">
      <c r="A520" s="3" t="s">
        <v>895</v>
      </c>
      <c r="B520" s="3" t="s">
        <v>896</v>
      </c>
      <c r="C520" s="3" t="s">
        <v>835</v>
      </c>
      <c r="D520" s="3" t="s">
        <v>836</v>
      </c>
      <c r="E520" s="3" t="s">
        <v>21</v>
      </c>
      <c r="F520" s="3" t="s">
        <v>22</v>
      </c>
      <c r="G520" s="3" t="s">
        <v>24</v>
      </c>
      <c r="H520" s="3" t="s">
        <v>24</v>
      </c>
      <c r="I520" s="3" t="s">
        <v>25</v>
      </c>
    </row>
    <row r="521" s="10" customFormat="1">
      <c r="A521" s="3" t="s">
        <v>897</v>
      </c>
      <c r="B521" s="3" t="s">
        <v>898</v>
      </c>
      <c r="C521" s="3"/>
      <c r="D521" s="3"/>
      <c r="E521" s="3"/>
      <c r="F521" s="3"/>
      <c r="G521" s="3"/>
      <c r="H521" s="3"/>
      <c r="I521" s="3"/>
    </row>
    <row r="522" s="10" customFormat="1">
      <c r="A522" s="3" t="s">
        <v>899</v>
      </c>
      <c r="B522" s="3" t="s">
        <v>898</v>
      </c>
      <c r="C522" s="3" t="s">
        <v>835</v>
      </c>
      <c r="D522" s="3" t="s">
        <v>836</v>
      </c>
      <c r="E522" s="3" t="s">
        <v>21</v>
      </c>
      <c r="F522" s="3" t="s">
        <v>22</v>
      </c>
      <c r="G522" s="3" t="s">
        <v>23</v>
      </c>
      <c r="H522" s="3" t="s">
        <v>24</v>
      </c>
      <c r="I522" s="3" t="s">
        <v>25</v>
      </c>
    </row>
    <row r="523" s="10" customFormat="1">
      <c r="A523" s="3" t="s">
        <v>900</v>
      </c>
      <c r="B523" s="3" t="s">
        <v>901</v>
      </c>
      <c r="C523" s="3" t="s">
        <v>835</v>
      </c>
      <c r="D523" s="3" t="s">
        <v>836</v>
      </c>
      <c r="E523" s="3" t="s">
        <v>21</v>
      </c>
      <c r="F523" s="3" t="s">
        <v>22</v>
      </c>
      <c r="G523" s="3" t="s">
        <v>24</v>
      </c>
      <c r="H523" s="3" t="s">
        <v>24</v>
      </c>
      <c r="I523" s="3" t="s">
        <v>25</v>
      </c>
    </row>
    <row r="524" s="10" customFormat="1">
      <c r="A524" s="3" t="s">
        <v>902</v>
      </c>
      <c r="B524" s="3" t="s">
        <v>903</v>
      </c>
      <c r="C524" s="3"/>
      <c r="D524" s="3"/>
      <c r="E524" s="3"/>
      <c r="F524" s="3"/>
      <c r="G524" s="3"/>
      <c r="H524" s="3"/>
      <c r="I524" s="3"/>
    </row>
    <row r="525" s="10" customFormat="1">
      <c r="A525" s="3" t="s">
        <v>904</v>
      </c>
      <c r="B525" s="3" t="s">
        <v>903</v>
      </c>
      <c r="C525" s="3" t="s">
        <v>835</v>
      </c>
      <c r="D525" s="3" t="s">
        <v>836</v>
      </c>
      <c r="E525" s="3" t="s">
        <v>21</v>
      </c>
      <c r="F525" s="3" t="s">
        <v>22</v>
      </c>
      <c r="G525" s="3" t="s">
        <v>23</v>
      </c>
      <c r="H525" s="3" t="s">
        <v>24</v>
      </c>
      <c r="I525" s="3" t="s">
        <v>25</v>
      </c>
    </row>
    <row r="526" s="10" customFormat="1">
      <c r="A526" s="3" t="s">
        <v>905</v>
      </c>
      <c r="B526" s="3" t="s">
        <v>906</v>
      </c>
      <c r="C526" s="3" t="s">
        <v>835</v>
      </c>
      <c r="D526" s="3" t="s">
        <v>836</v>
      </c>
      <c r="E526" s="3" t="s">
        <v>21</v>
      </c>
      <c r="F526" s="3" t="s">
        <v>22</v>
      </c>
      <c r="G526" s="3" t="s">
        <v>24</v>
      </c>
      <c r="H526" s="3" t="s">
        <v>24</v>
      </c>
      <c r="I526" s="3" t="s">
        <v>25</v>
      </c>
    </row>
    <row r="527" s="10" customFormat="1">
      <c r="A527" s="3" t="s">
        <v>907</v>
      </c>
      <c r="B527" s="3" t="s">
        <v>908</v>
      </c>
      <c r="C527" s="3"/>
      <c r="D527" s="3"/>
      <c r="E527" s="3"/>
      <c r="F527" s="3"/>
      <c r="G527" s="3"/>
      <c r="H527" s="3"/>
      <c r="I527" s="3"/>
    </row>
    <row r="528" s="10" customFormat="1">
      <c r="A528" s="3" t="s">
        <v>909</v>
      </c>
      <c r="B528" s="3" t="s">
        <v>908</v>
      </c>
      <c r="C528" s="3" t="s">
        <v>835</v>
      </c>
      <c r="D528" s="3" t="s">
        <v>836</v>
      </c>
      <c r="E528" s="3" t="s">
        <v>21</v>
      </c>
      <c r="F528" s="3" t="s">
        <v>22</v>
      </c>
      <c r="G528" s="3" t="s">
        <v>23</v>
      </c>
      <c r="H528" s="3" t="s">
        <v>24</v>
      </c>
      <c r="I528" s="3" t="s">
        <v>25</v>
      </c>
    </row>
    <row r="529" s="10" customFormat="1">
      <c r="A529" s="3" t="s">
        <v>910</v>
      </c>
      <c r="B529" s="3" t="s">
        <v>911</v>
      </c>
      <c r="C529" s="3" t="s">
        <v>835</v>
      </c>
      <c r="D529" s="3" t="s">
        <v>836</v>
      </c>
      <c r="E529" s="3" t="s">
        <v>21</v>
      </c>
      <c r="F529" s="3" t="s">
        <v>22</v>
      </c>
      <c r="G529" s="3" t="s">
        <v>24</v>
      </c>
      <c r="H529" s="3" t="s">
        <v>24</v>
      </c>
      <c r="I529" s="3" t="s">
        <v>25</v>
      </c>
    </row>
    <row r="530" s="10" customFormat="1">
      <c r="A530" s="3" t="s">
        <v>912</v>
      </c>
      <c r="B530" s="3" t="s">
        <v>913</v>
      </c>
      <c r="C530" s="3"/>
      <c r="D530" s="3"/>
      <c r="E530" s="3"/>
      <c r="F530" s="3"/>
      <c r="G530" s="3"/>
      <c r="H530" s="3"/>
      <c r="I530" s="3"/>
    </row>
    <row r="531" s="10" customFormat="1">
      <c r="A531" s="3" t="s">
        <v>914</v>
      </c>
      <c r="B531" s="3" t="s">
        <v>913</v>
      </c>
      <c r="C531" s="3" t="s">
        <v>835</v>
      </c>
      <c r="D531" s="3" t="s">
        <v>836</v>
      </c>
      <c r="E531" s="3" t="s">
        <v>21</v>
      </c>
      <c r="F531" s="3" t="s">
        <v>22</v>
      </c>
      <c r="G531" s="3" t="s">
        <v>23</v>
      </c>
      <c r="H531" s="3" t="s">
        <v>24</v>
      </c>
      <c r="I531" s="3" t="s">
        <v>25</v>
      </c>
    </row>
    <row r="532" s="10" customFormat="1">
      <c r="A532" s="3" t="s">
        <v>915</v>
      </c>
      <c r="B532" s="3" t="s">
        <v>916</v>
      </c>
      <c r="C532" s="3" t="s">
        <v>835</v>
      </c>
      <c r="D532" s="3" t="s">
        <v>836</v>
      </c>
      <c r="E532" s="3" t="s">
        <v>21</v>
      </c>
      <c r="F532" s="3" t="s">
        <v>22</v>
      </c>
      <c r="G532" s="3" t="s">
        <v>24</v>
      </c>
      <c r="H532" s="3" t="s">
        <v>24</v>
      </c>
      <c r="I532" s="3" t="s">
        <v>25</v>
      </c>
    </row>
    <row r="533" s="10" customFormat="1">
      <c r="A533" s="3" t="s">
        <v>917</v>
      </c>
      <c r="B533" s="3" t="s">
        <v>525</v>
      </c>
      <c r="C533" s="3"/>
      <c r="D533" s="3"/>
      <c r="E533" s="3"/>
      <c r="F533" s="3"/>
      <c r="G533" s="3"/>
      <c r="H533" s="3"/>
      <c r="I533" s="3"/>
    </row>
    <row r="534" s="10" customFormat="1">
      <c r="A534" s="3" t="s">
        <v>918</v>
      </c>
      <c r="B534" s="3" t="s">
        <v>525</v>
      </c>
      <c r="C534" s="3" t="s">
        <v>835</v>
      </c>
      <c r="D534" s="3" t="s">
        <v>836</v>
      </c>
      <c r="E534" s="3" t="s">
        <v>21</v>
      </c>
      <c r="F534" s="3" t="s">
        <v>22</v>
      </c>
      <c r="G534" s="3" t="s">
        <v>23</v>
      </c>
      <c r="H534" s="3" t="s">
        <v>24</v>
      </c>
      <c r="I534" s="3" t="s">
        <v>25</v>
      </c>
    </row>
    <row r="535" s="10" customFormat="1">
      <c r="A535" s="3" t="s">
        <v>919</v>
      </c>
      <c r="B535" s="3" t="s">
        <v>920</v>
      </c>
      <c r="C535" s="3" t="s">
        <v>835</v>
      </c>
      <c r="D535" s="3" t="s">
        <v>836</v>
      </c>
      <c r="E535" s="3" t="s">
        <v>21</v>
      </c>
      <c r="F535" s="3" t="s">
        <v>22</v>
      </c>
      <c r="G535" s="3" t="s">
        <v>24</v>
      </c>
      <c r="H535" s="3" t="s">
        <v>24</v>
      </c>
      <c r="I535" s="3" t="s">
        <v>25</v>
      </c>
    </row>
    <row r="536" s="10" customFormat="1">
      <c r="A536" s="3" t="s">
        <v>921</v>
      </c>
      <c r="B536" s="3" t="s">
        <v>922</v>
      </c>
      <c r="C536" s="3"/>
      <c r="D536" s="3"/>
      <c r="E536" s="3"/>
      <c r="F536" s="3"/>
      <c r="G536" s="3"/>
      <c r="H536" s="3"/>
      <c r="I536" s="3"/>
    </row>
    <row r="537" s="10" customFormat="1">
      <c r="A537" s="3" t="s">
        <v>923</v>
      </c>
      <c r="B537" s="3" t="s">
        <v>922</v>
      </c>
      <c r="C537" s="3" t="s">
        <v>835</v>
      </c>
      <c r="D537" s="3" t="s">
        <v>836</v>
      </c>
      <c r="E537" s="3" t="s">
        <v>21</v>
      </c>
      <c r="F537" s="3" t="s">
        <v>22</v>
      </c>
      <c r="G537" s="3" t="s">
        <v>23</v>
      </c>
      <c r="H537" s="3" t="s">
        <v>24</v>
      </c>
      <c r="I537" s="3" t="s">
        <v>25</v>
      </c>
    </row>
    <row r="538" s="10" customFormat="1">
      <c r="A538" s="3" t="s">
        <v>924</v>
      </c>
      <c r="B538" s="3" t="s">
        <v>925</v>
      </c>
      <c r="C538" s="3" t="s">
        <v>835</v>
      </c>
      <c r="D538" s="3" t="s">
        <v>836</v>
      </c>
      <c r="E538" s="3" t="s">
        <v>21</v>
      </c>
      <c r="F538" s="3" t="s">
        <v>22</v>
      </c>
      <c r="G538" s="3" t="s">
        <v>24</v>
      </c>
      <c r="H538" s="3" t="s">
        <v>24</v>
      </c>
      <c r="I538" s="3" t="s">
        <v>25</v>
      </c>
    </row>
    <row r="539" s="10" customFormat="1">
      <c r="A539" s="3" t="s">
        <v>926</v>
      </c>
      <c r="B539" s="3" t="s">
        <v>927</v>
      </c>
      <c r="C539" s="3"/>
      <c r="D539" s="3"/>
      <c r="E539" s="3"/>
      <c r="F539" s="3"/>
      <c r="G539" s="3"/>
      <c r="H539" s="3"/>
      <c r="I539" s="3"/>
    </row>
    <row r="540" s="10" customFormat="1">
      <c r="A540" s="3" t="s">
        <v>928</v>
      </c>
      <c r="B540" s="3" t="s">
        <v>927</v>
      </c>
      <c r="C540" s="3" t="s">
        <v>835</v>
      </c>
      <c r="D540" s="3" t="s">
        <v>836</v>
      </c>
      <c r="E540" s="3" t="s">
        <v>21</v>
      </c>
      <c r="F540" s="3" t="s">
        <v>22</v>
      </c>
      <c r="G540" s="3" t="s">
        <v>23</v>
      </c>
      <c r="H540" s="3" t="s">
        <v>24</v>
      </c>
      <c r="I540" s="3" t="s">
        <v>25</v>
      </c>
    </row>
    <row r="541" s="10" customFormat="1">
      <c r="A541" s="3" t="s">
        <v>929</v>
      </c>
      <c r="B541" s="3" t="s">
        <v>930</v>
      </c>
      <c r="C541" s="3" t="s">
        <v>835</v>
      </c>
      <c r="D541" s="3" t="s">
        <v>836</v>
      </c>
      <c r="E541" s="3" t="s">
        <v>21</v>
      </c>
      <c r="F541" s="3" t="s">
        <v>22</v>
      </c>
      <c r="G541" s="3" t="s">
        <v>24</v>
      </c>
      <c r="H541" s="3" t="s">
        <v>24</v>
      </c>
      <c r="I541" s="3" t="s">
        <v>25</v>
      </c>
    </row>
    <row r="542" s="10" customFormat="1">
      <c r="A542" s="3" t="s">
        <v>931</v>
      </c>
      <c r="B542" s="3" t="s">
        <v>932</v>
      </c>
      <c r="C542" s="3"/>
      <c r="D542" s="3"/>
      <c r="E542" s="3"/>
      <c r="F542" s="3"/>
      <c r="G542" s="3"/>
      <c r="H542" s="3"/>
      <c r="I542" s="3"/>
    </row>
    <row r="543" s="10" customFormat="1">
      <c r="A543" s="3" t="s">
        <v>933</v>
      </c>
      <c r="B543" s="3" t="s">
        <v>932</v>
      </c>
      <c r="C543" s="3" t="s">
        <v>835</v>
      </c>
      <c r="D543" s="3" t="s">
        <v>836</v>
      </c>
      <c r="E543" s="3" t="s">
        <v>21</v>
      </c>
      <c r="F543" s="3" t="s">
        <v>22</v>
      </c>
      <c r="G543" s="3" t="s">
        <v>23</v>
      </c>
      <c r="H543" s="3" t="s">
        <v>24</v>
      </c>
      <c r="I543" s="3" t="s">
        <v>25</v>
      </c>
    </row>
    <row r="544" s="10" customFormat="1">
      <c r="A544" s="3" t="s">
        <v>934</v>
      </c>
      <c r="B544" s="3" t="s">
        <v>935</v>
      </c>
      <c r="C544" s="3" t="s">
        <v>835</v>
      </c>
      <c r="D544" s="3" t="s">
        <v>836</v>
      </c>
      <c r="E544" s="3" t="s">
        <v>21</v>
      </c>
      <c r="F544" s="3" t="s">
        <v>22</v>
      </c>
      <c r="G544" s="3" t="s">
        <v>24</v>
      </c>
      <c r="H544" s="3" t="s">
        <v>24</v>
      </c>
      <c r="I544" s="3" t="s">
        <v>25</v>
      </c>
    </row>
    <row r="545" s="10" customFormat="1">
      <c r="A545" s="3" t="s">
        <v>936</v>
      </c>
      <c r="B545" s="3" t="s">
        <v>937</v>
      </c>
      <c r="C545" s="3"/>
      <c r="D545" s="3"/>
      <c r="E545" s="3"/>
      <c r="F545" s="3"/>
      <c r="G545" s="3"/>
      <c r="H545" s="3"/>
      <c r="I545" s="3"/>
    </row>
    <row r="546" s="10" customFormat="1">
      <c r="A546" s="3" t="s">
        <v>938</v>
      </c>
      <c r="B546" s="3" t="s">
        <v>937</v>
      </c>
      <c r="C546" s="3" t="s">
        <v>835</v>
      </c>
      <c r="D546" s="3" t="s">
        <v>836</v>
      </c>
      <c r="E546" s="3" t="s">
        <v>21</v>
      </c>
      <c r="F546" s="3" t="s">
        <v>22</v>
      </c>
      <c r="G546" s="3" t="s">
        <v>23</v>
      </c>
      <c r="H546" s="3" t="s">
        <v>24</v>
      </c>
      <c r="I546" s="3" t="s">
        <v>25</v>
      </c>
    </row>
    <row r="547" s="10" customFormat="1">
      <c r="A547" s="3" t="s">
        <v>939</v>
      </c>
      <c r="B547" s="3" t="s">
        <v>940</v>
      </c>
      <c r="C547" s="3" t="s">
        <v>835</v>
      </c>
      <c r="D547" s="3" t="s">
        <v>836</v>
      </c>
      <c r="E547" s="3" t="s">
        <v>21</v>
      </c>
      <c r="F547" s="3" t="s">
        <v>22</v>
      </c>
      <c r="G547" s="3" t="s">
        <v>24</v>
      </c>
      <c r="H547" s="3" t="s">
        <v>24</v>
      </c>
      <c r="I547" s="3" t="s">
        <v>25</v>
      </c>
    </row>
    <row r="548" s="10" customFormat="1">
      <c r="A548" s="3" t="s">
        <v>941</v>
      </c>
      <c r="B548" s="3" t="s">
        <v>942</v>
      </c>
      <c r="C548" s="3"/>
      <c r="D548" s="3"/>
      <c r="E548" s="3"/>
      <c r="F548" s="3"/>
      <c r="G548" s="3"/>
      <c r="H548" s="3"/>
      <c r="I548" s="3"/>
    </row>
    <row r="549" s="10" customFormat="1">
      <c r="A549" s="3" t="s">
        <v>943</v>
      </c>
      <c r="B549" s="3" t="s">
        <v>942</v>
      </c>
      <c r="C549" s="3" t="s">
        <v>835</v>
      </c>
      <c r="D549" s="3" t="s">
        <v>836</v>
      </c>
      <c r="E549" s="3" t="s">
        <v>21</v>
      </c>
      <c r="F549" s="3" t="s">
        <v>22</v>
      </c>
      <c r="G549" s="3" t="s">
        <v>23</v>
      </c>
      <c r="H549" s="3" t="s">
        <v>24</v>
      </c>
      <c r="I549" s="3" t="s">
        <v>25</v>
      </c>
    </row>
    <row r="550" s="10" customFormat="1">
      <c r="A550" s="3" t="s">
        <v>944</v>
      </c>
      <c r="B550" s="3" t="s">
        <v>945</v>
      </c>
      <c r="C550" s="3" t="s">
        <v>836</v>
      </c>
      <c r="D550" s="3" t="s">
        <v>836</v>
      </c>
      <c r="E550" s="3" t="s">
        <v>21</v>
      </c>
      <c r="F550" s="3" t="s">
        <v>22</v>
      </c>
      <c r="G550" s="3" t="s">
        <v>23</v>
      </c>
      <c r="H550" s="3" t="s">
        <v>24</v>
      </c>
      <c r="I550" s="3" t="s">
        <v>25</v>
      </c>
    </row>
    <row r="551" s="10" customFormat="1">
      <c r="A551" s="3" t="s">
        <v>946</v>
      </c>
      <c r="B551" s="3" t="s">
        <v>947</v>
      </c>
      <c r="C551" s="3" t="s">
        <v>835</v>
      </c>
      <c r="D551" s="3" t="s">
        <v>836</v>
      </c>
      <c r="E551" s="3" t="s">
        <v>21</v>
      </c>
      <c r="F551" s="3" t="s">
        <v>22</v>
      </c>
      <c r="G551" s="3" t="s">
        <v>24</v>
      </c>
      <c r="H551" s="3" t="s">
        <v>24</v>
      </c>
      <c r="I551" s="3" t="s">
        <v>25</v>
      </c>
    </row>
    <row r="552" s="10" customFormat="1">
      <c r="A552" s="3" t="s">
        <v>948</v>
      </c>
      <c r="B552" s="3" t="s">
        <v>108</v>
      </c>
      <c r="C552" s="3"/>
      <c r="D552" s="3"/>
      <c r="E552" s="3"/>
      <c r="F552" s="3"/>
      <c r="G552" s="3"/>
      <c r="H552" s="3"/>
      <c r="I552" s="3"/>
    </row>
    <row r="553" s="10" customFormat="1">
      <c r="A553" s="3" t="s">
        <v>949</v>
      </c>
      <c r="B553" s="3" t="s">
        <v>950</v>
      </c>
      <c r="C553" s="3" t="s">
        <v>835</v>
      </c>
      <c r="D553" s="3" t="s">
        <v>836</v>
      </c>
      <c r="E553" s="3" t="s">
        <v>21</v>
      </c>
      <c r="F553" s="3" t="s">
        <v>22</v>
      </c>
      <c r="G553" s="3" t="s">
        <v>23</v>
      </c>
      <c r="H553" s="3" t="s">
        <v>24</v>
      </c>
      <c r="I553" s="3" t="s">
        <v>25</v>
      </c>
    </row>
    <row r="554" s="10" customFormat="1">
      <c r="A554" s="3" t="s">
        <v>951</v>
      </c>
      <c r="B554" s="3" t="s">
        <v>952</v>
      </c>
      <c r="C554" s="3" t="s">
        <v>835</v>
      </c>
      <c r="D554" s="3" t="s">
        <v>836</v>
      </c>
      <c r="E554" s="3" t="s">
        <v>21</v>
      </c>
      <c r="F554" s="3" t="s">
        <v>22</v>
      </c>
      <c r="G554" s="3" t="s">
        <v>24</v>
      </c>
      <c r="H554" s="3" t="s">
        <v>24</v>
      </c>
      <c r="I554" s="3" t="s">
        <v>25</v>
      </c>
    </row>
    <row r="555" s="10" customFormat="1">
      <c r="A555" s="3" t="s">
        <v>953</v>
      </c>
      <c r="B555" s="3" t="s">
        <v>393</v>
      </c>
      <c r="C555" s="3"/>
      <c r="D555" s="3"/>
      <c r="E555" s="3"/>
      <c r="F555" s="3"/>
      <c r="G555" s="3"/>
      <c r="H555" s="3"/>
      <c r="I555" s="3"/>
    </row>
    <row r="556" s="10" customFormat="1">
      <c r="A556" s="3" t="s">
        <v>954</v>
      </c>
      <c r="B556" s="3" t="s">
        <v>955</v>
      </c>
      <c r="C556" s="3"/>
      <c r="D556" s="3"/>
      <c r="E556" s="3"/>
      <c r="F556" s="3"/>
      <c r="G556" s="3"/>
      <c r="H556" s="3"/>
      <c r="I556" s="3"/>
    </row>
    <row r="557" s="10" customFormat="1">
      <c r="A557" s="3" t="s">
        <v>956</v>
      </c>
      <c r="B557" s="3" t="s">
        <v>957</v>
      </c>
      <c r="C557" s="3" t="s">
        <v>836</v>
      </c>
      <c r="D557" s="3" t="s">
        <v>836</v>
      </c>
      <c r="E557" s="3" t="s">
        <v>21</v>
      </c>
      <c r="F557" s="3" t="s">
        <v>22</v>
      </c>
      <c r="G557" s="3" t="s">
        <v>23</v>
      </c>
      <c r="H557" s="3" t="s">
        <v>24</v>
      </c>
      <c r="I557" s="3" t="s">
        <v>25</v>
      </c>
    </row>
    <row r="558" s="10" customFormat="1">
      <c r="A558" s="3" t="s">
        <v>958</v>
      </c>
      <c r="B558" s="3" t="s">
        <v>959</v>
      </c>
      <c r="C558" s="3"/>
      <c r="D558" s="3"/>
      <c r="E558" s="3"/>
      <c r="F558" s="3"/>
      <c r="G558" s="3"/>
      <c r="H558" s="3"/>
      <c r="I558" s="3"/>
    </row>
    <row r="559" s="10" customFormat="1">
      <c r="A559" s="3" t="s">
        <v>960</v>
      </c>
      <c r="B559" s="3" t="s">
        <v>961</v>
      </c>
      <c r="C559" s="3"/>
      <c r="D559" s="3"/>
      <c r="E559" s="3"/>
      <c r="F559" s="3"/>
      <c r="G559" s="3"/>
      <c r="H559" s="3"/>
      <c r="I559" s="3"/>
    </row>
    <row r="560" s="10" customFormat="1">
      <c r="A560" s="3" t="s">
        <v>962</v>
      </c>
      <c r="B560" s="3" t="s">
        <v>963</v>
      </c>
      <c r="C560" s="3"/>
      <c r="D560" s="3"/>
      <c r="E560" s="3"/>
      <c r="F560" s="3"/>
      <c r="G560" s="3"/>
      <c r="H560" s="3"/>
      <c r="I560" s="3"/>
    </row>
    <row r="561" s="10" customFormat="1">
      <c r="A561" s="3" t="s">
        <v>964</v>
      </c>
      <c r="B561" s="3" t="s">
        <v>965</v>
      </c>
      <c r="C561" s="3" t="s">
        <v>836</v>
      </c>
      <c r="D561" s="3" t="s">
        <v>836</v>
      </c>
      <c r="E561" s="3" t="s">
        <v>21</v>
      </c>
      <c r="F561" s="3" t="s">
        <v>22</v>
      </c>
      <c r="G561" s="3" t="s">
        <v>23</v>
      </c>
      <c r="H561" s="3" t="s">
        <v>24</v>
      </c>
      <c r="I561" s="3" t="s">
        <v>25</v>
      </c>
    </row>
    <row r="562" s="10" customFormat="1">
      <c r="A562" s="3" t="s">
        <v>966</v>
      </c>
      <c r="B562" s="3" t="s">
        <v>967</v>
      </c>
      <c r="C562" s="3"/>
      <c r="D562" s="3"/>
      <c r="E562" s="3"/>
      <c r="F562" s="3"/>
      <c r="G562" s="3"/>
      <c r="H562" s="3"/>
      <c r="I562" s="3"/>
    </row>
    <row r="563" s="10" customFormat="1">
      <c r="A563" s="3" t="s">
        <v>968</v>
      </c>
      <c r="B563" s="3" t="s">
        <v>967</v>
      </c>
      <c r="C563" s="3" t="s">
        <v>836</v>
      </c>
      <c r="D563" s="3" t="s">
        <v>836</v>
      </c>
      <c r="E563" s="3" t="s">
        <v>21</v>
      </c>
      <c r="F563" s="3" t="s">
        <v>22</v>
      </c>
      <c r="G563" s="3" t="s">
        <v>23</v>
      </c>
      <c r="H563" s="3" t="s">
        <v>24</v>
      </c>
      <c r="I563" s="3" t="s">
        <v>25</v>
      </c>
    </row>
    <row r="564" s="10" customFormat="1">
      <c r="A564" s="3" t="s">
        <v>969</v>
      </c>
      <c r="B564" s="3" t="s">
        <v>970</v>
      </c>
      <c r="C564" s="3"/>
      <c r="D564" s="3"/>
      <c r="E564" s="3"/>
      <c r="F564" s="3"/>
      <c r="G564" s="3"/>
      <c r="H564" s="3"/>
      <c r="I564" s="3"/>
    </row>
    <row r="565" s="10" customFormat="1">
      <c r="A565" s="3" t="s">
        <v>971</v>
      </c>
      <c r="B565" s="3" t="s">
        <v>970</v>
      </c>
      <c r="C565" s="3" t="s">
        <v>836</v>
      </c>
      <c r="D565" s="3" t="s">
        <v>836</v>
      </c>
      <c r="E565" s="3" t="s">
        <v>21</v>
      </c>
      <c r="F565" s="3" t="s">
        <v>22</v>
      </c>
      <c r="G565" s="3" t="s">
        <v>23</v>
      </c>
      <c r="H565" s="3" t="s">
        <v>24</v>
      </c>
      <c r="I565" s="3" t="s">
        <v>25</v>
      </c>
    </row>
    <row r="566" s="10" customFormat="1">
      <c r="A566" s="3" t="s">
        <v>972</v>
      </c>
      <c r="B566" s="3" t="s">
        <v>973</v>
      </c>
      <c r="C566" s="3"/>
      <c r="D566" s="3"/>
      <c r="E566" s="3"/>
      <c r="F566" s="3"/>
      <c r="G566" s="3"/>
      <c r="H566" s="3"/>
      <c r="I566" s="3"/>
    </row>
    <row r="567" s="10" customFormat="1">
      <c r="A567" s="3" t="s">
        <v>974</v>
      </c>
      <c r="B567" s="3" t="s">
        <v>975</v>
      </c>
      <c r="C567" s="3"/>
      <c r="D567" s="3"/>
      <c r="E567" s="3"/>
      <c r="F567" s="3"/>
      <c r="G567" s="3"/>
      <c r="H567" s="3"/>
      <c r="I567" s="3"/>
    </row>
    <row r="568" s="10" customFormat="1">
      <c r="A568" s="3" t="s">
        <v>976</v>
      </c>
      <c r="B568" s="3" t="s">
        <v>975</v>
      </c>
      <c r="C568" s="3" t="s">
        <v>836</v>
      </c>
      <c r="D568" s="3" t="s">
        <v>836</v>
      </c>
      <c r="E568" s="3" t="s">
        <v>21</v>
      </c>
      <c r="F568" s="3" t="s">
        <v>22</v>
      </c>
      <c r="G568" s="3" t="s">
        <v>23</v>
      </c>
      <c r="H568" s="3" t="s">
        <v>24</v>
      </c>
      <c r="I568" s="3" t="s">
        <v>25</v>
      </c>
    </row>
    <row r="569" s="10" customFormat="1">
      <c r="A569" s="3" t="s">
        <v>977</v>
      </c>
      <c r="B569" s="3" t="s">
        <v>978</v>
      </c>
      <c r="C569" s="3"/>
      <c r="D569" s="3"/>
      <c r="E569" s="3"/>
      <c r="F569" s="3"/>
      <c r="G569" s="3"/>
      <c r="H569" s="3"/>
      <c r="I569" s="3"/>
    </row>
    <row r="570" s="10" customFormat="1">
      <c r="A570" s="3" t="s">
        <v>979</v>
      </c>
      <c r="B570" s="3" t="s">
        <v>980</v>
      </c>
      <c r="C570" s="3"/>
      <c r="D570" s="3"/>
      <c r="E570" s="3"/>
      <c r="F570" s="3"/>
      <c r="G570" s="3"/>
      <c r="H570" s="3"/>
      <c r="I570" s="3"/>
    </row>
    <row r="571" s="10" customFormat="1">
      <c r="A571" s="3" t="s">
        <v>1426</v>
      </c>
      <c r="B571" s="3" t="s">
        <v>980</v>
      </c>
      <c r="C571" s="3" t="s">
        <v>836</v>
      </c>
      <c r="D571" s="3" t="s">
        <v>836</v>
      </c>
      <c r="E571" s="3" t="s">
        <v>21</v>
      </c>
      <c r="F571" s="3" t="s">
        <v>22</v>
      </c>
      <c r="G571" s="3" t="s">
        <v>23</v>
      </c>
      <c r="H571" s="3" t="s">
        <v>24</v>
      </c>
      <c r="I571" s="3" t="s">
        <v>25</v>
      </c>
    </row>
    <row r="572" s="10" customFormat="1">
      <c r="A572" s="3" t="s">
        <v>981</v>
      </c>
      <c r="B572" s="3" t="s">
        <v>982</v>
      </c>
      <c r="C572" s="3"/>
      <c r="D572" s="3"/>
      <c r="E572" s="3"/>
      <c r="F572" s="3"/>
      <c r="G572" s="3"/>
      <c r="H572" s="3"/>
      <c r="I572" s="3"/>
    </row>
    <row r="573" s="10" customFormat="1">
      <c r="A573" s="3" t="s">
        <v>983</v>
      </c>
      <c r="B573" s="3" t="s">
        <v>984</v>
      </c>
      <c r="C573" s="3" t="s">
        <v>836</v>
      </c>
      <c r="D573" s="3" t="s">
        <v>836</v>
      </c>
      <c r="E573" s="3" t="s">
        <v>21</v>
      </c>
      <c r="F573" s="3" t="s">
        <v>22</v>
      </c>
      <c r="G573" s="3" t="s">
        <v>23</v>
      </c>
      <c r="H573" s="3" t="s">
        <v>24</v>
      </c>
      <c r="I573" s="3" t="s">
        <v>25</v>
      </c>
    </row>
    <row r="574" s="10" customFormat="1">
      <c r="A574" s="3" t="s">
        <v>985</v>
      </c>
      <c r="B574" s="3" t="s">
        <v>986</v>
      </c>
      <c r="C574" s="3"/>
      <c r="D574" s="3"/>
      <c r="E574" s="3"/>
      <c r="F574" s="3"/>
      <c r="G574" s="3"/>
      <c r="H574" s="3"/>
      <c r="I574" s="3"/>
    </row>
    <row r="575" s="10" customFormat="1">
      <c r="A575" s="3" t="s">
        <v>1427</v>
      </c>
      <c r="B575" s="3" t="s">
        <v>986</v>
      </c>
      <c r="C575" s="3" t="s">
        <v>836</v>
      </c>
      <c r="D575" s="3" t="s">
        <v>836</v>
      </c>
      <c r="E575" s="3" t="s">
        <v>21</v>
      </c>
      <c r="F575" s="3" t="s">
        <v>22</v>
      </c>
      <c r="G575" s="3" t="s">
        <v>23</v>
      </c>
      <c r="H575" s="3" t="s">
        <v>24</v>
      </c>
      <c r="I575" s="3" t="s">
        <v>25</v>
      </c>
    </row>
    <row r="576" s="10" customFormat="1">
      <c r="A576" s="3" t="s">
        <v>987</v>
      </c>
      <c r="B576" s="3" t="s">
        <v>454</v>
      </c>
      <c r="C576" s="3"/>
      <c r="D576" s="3"/>
      <c r="E576" s="3"/>
      <c r="F576" s="3"/>
      <c r="G576" s="3"/>
      <c r="H576" s="3"/>
      <c r="I576" s="3"/>
    </row>
    <row r="577" s="10" customFormat="1">
      <c r="A577" s="3" t="s">
        <v>988</v>
      </c>
      <c r="B577" s="3" t="s">
        <v>251</v>
      </c>
      <c r="C577" s="3"/>
      <c r="D577" s="3"/>
      <c r="E577" s="3"/>
      <c r="F577" s="3"/>
      <c r="G577" s="3"/>
      <c r="H577" s="3"/>
      <c r="I577" s="3"/>
    </row>
    <row r="578" s="10" customFormat="1">
      <c r="A578" s="3" t="s">
        <v>989</v>
      </c>
      <c r="B578" s="3" t="s">
        <v>990</v>
      </c>
      <c r="C578" s="3" t="s">
        <v>836</v>
      </c>
      <c r="D578" s="3" t="s">
        <v>836</v>
      </c>
      <c r="E578" s="3" t="s">
        <v>21</v>
      </c>
      <c r="F578" s="3" t="s">
        <v>22</v>
      </c>
      <c r="G578" s="3" t="s">
        <v>23</v>
      </c>
      <c r="H578" s="3" t="s">
        <v>24</v>
      </c>
      <c r="I578" s="3" t="s">
        <v>25</v>
      </c>
    </row>
    <row r="579" s="10" customFormat="1">
      <c r="A579" s="3" t="s">
        <v>991</v>
      </c>
      <c r="B579" s="3" t="s">
        <v>263</v>
      </c>
      <c r="C579" s="3"/>
      <c r="D579" s="3"/>
      <c r="E579" s="3"/>
      <c r="F579" s="3"/>
      <c r="G579" s="3"/>
      <c r="H579" s="3"/>
      <c r="I579" s="3"/>
    </row>
    <row r="580" s="10" customFormat="1">
      <c r="A580" s="3" t="s">
        <v>992</v>
      </c>
      <c r="B580" s="3" t="s">
        <v>993</v>
      </c>
      <c r="C580" s="3" t="s">
        <v>836</v>
      </c>
      <c r="D580" s="3" t="s">
        <v>836</v>
      </c>
      <c r="E580" s="3" t="s">
        <v>21</v>
      </c>
      <c r="F580" s="3" t="s">
        <v>22</v>
      </c>
      <c r="G580" s="3" t="s">
        <v>23</v>
      </c>
      <c r="H580" s="3" t="s">
        <v>24</v>
      </c>
      <c r="I580" s="3" t="s">
        <v>25</v>
      </c>
    </row>
    <row r="581" s="10" customFormat="1">
      <c r="A581" s="3" t="s">
        <v>994</v>
      </c>
      <c r="B581" s="3" t="s">
        <v>995</v>
      </c>
      <c r="C581" s="3"/>
      <c r="D581" s="3"/>
      <c r="E581" s="3"/>
      <c r="F581" s="3"/>
      <c r="G581" s="3"/>
      <c r="H581" s="3"/>
      <c r="I581" s="3"/>
    </row>
    <row r="582" s="10" customFormat="1">
      <c r="A582" s="3" t="s">
        <v>996</v>
      </c>
      <c r="B582" s="3" t="s">
        <v>997</v>
      </c>
      <c r="C582" s="3" t="s">
        <v>836</v>
      </c>
      <c r="D582" s="3" t="s">
        <v>836</v>
      </c>
      <c r="E582" s="3" t="s">
        <v>21</v>
      </c>
      <c r="F582" s="3" t="s">
        <v>22</v>
      </c>
      <c r="G582" s="3" t="s">
        <v>23</v>
      </c>
      <c r="H582" s="3" t="s">
        <v>24</v>
      </c>
      <c r="I582" s="3" t="s">
        <v>25</v>
      </c>
    </row>
    <row r="583" s="10" customFormat="1">
      <c r="A583" s="3" t="s">
        <v>998</v>
      </c>
      <c r="B583" s="3" t="s">
        <v>999</v>
      </c>
      <c r="C583" s="3"/>
      <c r="D583" s="3"/>
      <c r="E583" s="3"/>
      <c r="F583" s="3"/>
      <c r="G583" s="3"/>
      <c r="H583" s="3"/>
      <c r="I583" s="3"/>
    </row>
    <row r="584" s="10" customFormat="1">
      <c r="A584" s="3" t="s">
        <v>1000</v>
      </c>
      <c r="B584" s="3" t="s">
        <v>1001</v>
      </c>
      <c r="C584" s="3"/>
      <c r="D584" s="3"/>
      <c r="E584" s="3"/>
      <c r="F584" s="3"/>
      <c r="G584" s="3"/>
      <c r="H584" s="3"/>
      <c r="I584" s="3"/>
    </row>
    <row r="585" s="10" customFormat="1">
      <c r="A585" s="3" t="s">
        <v>1002</v>
      </c>
      <c r="B585" s="3" t="s">
        <v>1003</v>
      </c>
      <c r="C585" s="3"/>
      <c r="D585" s="3"/>
      <c r="E585" s="3"/>
      <c r="F585" s="3"/>
      <c r="G585" s="3"/>
      <c r="H585" s="3"/>
      <c r="I585" s="3"/>
    </row>
    <row r="586" s="10" customFormat="1">
      <c r="A586" s="3" t="s">
        <v>1004</v>
      </c>
      <c r="B586" s="3" t="s">
        <v>1005</v>
      </c>
      <c r="C586" s="3"/>
      <c r="D586" s="3"/>
      <c r="E586" s="3"/>
      <c r="F586" s="3"/>
      <c r="G586" s="3"/>
      <c r="H586" s="3"/>
      <c r="I586" s="3"/>
    </row>
    <row r="587" s="10" customFormat="1">
      <c r="A587" s="3" t="s">
        <v>1006</v>
      </c>
      <c r="B587" s="3" t="s">
        <v>1007</v>
      </c>
      <c r="C587" s="3"/>
      <c r="D587" s="3"/>
      <c r="E587" s="3"/>
      <c r="F587" s="3"/>
      <c r="G587" s="3"/>
      <c r="H587" s="3"/>
      <c r="I587" s="3"/>
    </row>
    <row r="588" s="10" customFormat="1">
      <c r="A588" s="3" t="s">
        <v>1008</v>
      </c>
      <c r="B588" s="3" t="s">
        <v>1007</v>
      </c>
      <c r="C588" s="3" t="s">
        <v>836</v>
      </c>
      <c r="D588" s="3" t="s">
        <v>836</v>
      </c>
      <c r="E588" s="3" t="s">
        <v>21</v>
      </c>
      <c r="F588" s="3" t="s">
        <v>22</v>
      </c>
      <c r="G588" s="3" t="s">
        <v>23</v>
      </c>
      <c r="H588" s="3" t="s">
        <v>24</v>
      </c>
      <c r="I588" s="3" t="s">
        <v>25</v>
      </c>
    </row>
    <row r="589" s="10" customFormat="1">
      <c r="A589" s="3" t="s">
        <v>1009</v>
      </c>
      <c r="B589" s="3" t="s">
        <v>1010</v>
      </c>
      <c r="C589" s="3"/>
      <c r="D589" s="3"/>
      <c r="E589" s="3"/>
      <c r="F589" s="3"/>
      <c r="G589" s="3"/>
      <c r="H589" s="3"/>
      <c r="I589" s="3"/>
    </row>
    <row r="590" s="10" customFormat="1">
      <c r="A590" s="3" t="s">
        <v>1011</v>
      </c>
      <c r="B590" s="3" t="s">
        <v>1012</v>
      </c>
      <c r="C590" s="3"/>
      <c r="D590" s="3"/>
      <c r="E590" s="3"/>
      <c r="F590" s="3"/>
      <c r="G590" s="3"/>
      <c r="H590" s="3"/>
      <c r="I590" s="3"/>
    </row>
    <row r="591" s="10" customFormat="1">
      <c r="A591" s="3" t="s">
        <v>1013</v>
      </c>
      <c r="B591" s="3" t="s">
        <v>1014</v>
      </c>
      <c r="C591" s="3"/>
      <c r="D591" s="3"/>
      <c r="E591" s="3"/>
      <c r="F591" s="3"/>
      <c r="G591" s="3"/>
      <c r="H591" s="3"/>
      <c r="I591" s="3"/>
    </row>
    <row r="592" s="10" customFormat="1">
      <c r="A592" s="3" t="s">
        <v>1015</v>
      </c>
      <c r="B592" s="3" t="s">
        <v>1016</v>
      </c>
      <c r="C592" s="3" t="s">
        <v>836</v>
      </c>
      <c r="D592" s="3" t="s">
        <v>836</v>
      </c>
      <c r="E592" s="3" t="s">
        <v>21</v>
      </c>
      <c r="F592" s="3" t="s">
        <v>22</v>
      </c>
      <c r="G592" s="3" t="s">
        <v>23</v>
      </c>
      <c r="H592" s="3" t="s">
        <v>24</v>
      </c>
      <c r="I592" s="3" t="s">
        <v>25</v>
      </c>
    </row>
    <row r="593" s="10" customFormat="1">
      <c r="A593" s="3" t="s">
        <v>1017</v>
      </c>
      <c r="B593" s="3" t="s">
        <v>1018</v>
      </c>
      <c r="C593" s="3"/>
      <c r="D593" s="3"/>
      <c r="E593" s="3"/>
      <c r="F593" s="3"/>
      <c r="G593" s="3"/>
      <c r="H593" s="3"/>
      <c r="I593" s="3"/>
    </row>
    <row r="594" s="10" customFormat="1">
      <c r="A594" s="3" t="s">
        <v>1019</v>
      </c>
      <c r="B594" s="3" t="s">
        <v>283</v>
      </c>
      <c r="C594" s="3"/>
      <c r="D594" s="3"/>
      <c r="E594" s="3"/>
      <c r="F594" s="3"/>
      <c r="G594" s="3"/>
      <c r="H594" s="3"/>
      <c r="I594" s="3"/>
    </row>
    <row r="595" s="10" customFormat="1">
      <c r="A595" s="3" t="s">
        <v>1020</v>
      </c>
      <c r="B595" s="3" t="s">
        <v>1021</v>
      </c>
      <c r="C595" s="3"/>
      <c r="D595" s="3"/>
      <c r="E595" s="3"/>
      <c r="F595" s="3"/>
      <c r="G595" s="3"/>
      <c r="H595" s="3"/>
      <c r="I595" s="3"/>
    </row>
    <row r="596" s="10" customFormat="1">
      <c r="A596" s="3" t="s">
        <v>1022</v>
      </c>
      <c r="B596" s="3" t="s">
        <v>1023</v>
      </c>
      <c r="C596" s="3"/>
      <c r="D596" s="3"/>
      <c r="E596" s="3"/>
      <c r="F596" s="3"/>
      <c r="G596" s="3"/>
      <c r="H596" s="3"/>
      <c r="I596" s="3"/>
    </row>
    <row r="597" s="10" customFormat="1">
      <c r="A597" s="3" t="s">
        <v>1024</v>
      </c>
      <c r="B597" s="3" t="s">
        <v>441</v>
      </c>
      <c r="C597" s="3"/>
      <c r="D597" s="3"/>
      <c r="E597" s="3"/>
      <c r="F597" s="3"/>
      <c r="G597" s="3"/>
      <c r="H597" s="3"/>
      <c r="I597" s="3"/>
    </row>
    <row r="598" s="10" customFormat="1">
      <c r="A598" s="3" t="s">
        <v>1025</v>
      </c>
      <c r="B598" s="3" t="s">
        <v>1026</v>
      </c>
      <c r="C598" s="3"/>
      <c r="D598" s="3"/>
      <c r="E598" s="3"/>
      <c r="F598" s="3"/>
      <c r="G598" s="3"/>
      <c r="H598" s="3"/>
      <c r="I598" s="3"/>
    </row>
    <row r="599" s="10" customFormat="1">
      <c r="A599" s="3" t="s">
        <v>1027</v>
      </c>
      <c r="B599" s="3" t="s">
        <v>1028</v>
      </c>
      <c r="C599" s="3" t="s">
        <v>836</v>
      </c>
      <c r="D599" s="3" t="s">
        <v>836</v>
      </c>
      <c r="E599" s="3" t="s">
        <v>21</v>
      </c>
      <c r="F599" s="3" t="s">
        <v>22</v>
      </c>
      <c r="G599" s="3" t="s">
        <v>23</v>
      </c>
      <c r="H599" s="3" t="s">
        <v>24</v>
      </c>
      <c r="I599" s="3" t="s">
        <v>25</v>
      </c>
    </row>
    <row r="600" s="10" customFormat="1">
      <c r="A600" s="3" t="s">
        <v>1029</v>
      </c>
      <c r="B600" s="3" t="s">
        <v>1030</v>
      </c>
      <c r="C600" s="3"/>
      <c r="D600" s="3"/>
      <c r="E600" s="3"/>
      <c r="F600" s="3"/>
      <c r="G600" s="3"/>
      <c r="H600" s="3"/>
      <c r="I600" s="3"/>
    </row>
    <row r="601" s="10" customFormat="1">
      <c r="A601" s="3" t="s">
        <v>1031</v>
      </c>
      <c r="B601" s="3" t="s">
        <v>1030</v>
      </c>
      <c r="C601" s="3" t="s">
        <v>836</v>
      </c>
      <c r="D601" s="3" t="s">
        <v>836</v>
      </c>
      <c r="E601" s="3" t="s">
        <v>21</v>
      </c>
      <c r="F601" s="3" t="s">
        <v>22</v>
      </c>
      <c r="G601" s="3" t="s">
        <v>23</v>
      </c>
      <c r="H601" s="3" t="s">
        <v>24</v>
      </c>
      <c r="I601" s="3" t="s">
        <v>25</v>
      </c>
    </row>
    <row r="602" s="10" customFormat="1">
      <c r="A602" s="3" t="s">
        <v>1032</v>
      </c>
      <c r="B602" s="3" t="s">
        <v>1033</v>
      </c>
      <c r="C602" s="3"/>
      <c r="D602" s="3"/>
      <c r="E602" s="3"/>
      <c r="F602" s="3"/>
      <c r="G602" s="3"/>
      <c r="H602" s="3"/>
      <c r="I602" s="3"/>
    </row>
    <row r="603" s="10" customFormat="1">
      <c r="A603" s="3" t="s">
        <v>1034</v>
      </c>
      <c r="B603" s="3" t="s">
        <v>1035</v>
      </c>
      <c r="C603" s="3" t="s">
        <v>836</v>
      </c>
      <c r="D603" s="3" t="s">
        <v>836</v>
      </c>
      <c r="E603" s="3" t="s">
        <v>21</v>
      </c>
      <c r="F603" s="3" t="s">
        <v>22</v>
      </c>
      <c r="G603" s="3" t="s">
        <v>23</v>
      </c>
      <c r="H603" s="3" t="s">
        <v>24</v>
      </c>
      <c r="I603" s="3" t="s">
        <v>25</v>
      </c>
    </row>
    <row r="604" s="10" customFormat="1">
      <c r="A604" s="3" t="s">
        <v>1036</v>
      </c>
      <c r="B604" s="3" t="s">
        <v>1037</v>
      </c>
      <c r="C604" s="3"/>
      <c r="D604" s="3"/>
      <c r="E604" s="3"/>
      <c r="F604" s="3"/>
      <c r="G604" s="3"/>
      <c r="H604" s="3"/>
      <c r="I604" s="3"/>
    </row>
    <row r="605" s="10" customFormat="1">
      <c r="A605" s="3" t="s">
        <v>1038</v>
      </c>
      <c r="B605" s="3" t="s">
        <v>1039</v>
      </c>
      <c r="C605" s="3" t="s">
        <v>836</v>
      </c>
      <c r="D605" s="3" t="s">
        <v>836</v>
      </c>
      <c r="E605" s="3" t="s">
        <v>21</v>
      </c>
      <c r="F605" s="3" t="s">
        <v>22</v>
      </c>
      <c r="G605" s="3" t="s">
        <v>23</v>
      </c>
      <c r="H605" s="3" t="s">
        <v>24</v>
      </c>
      <c r="I605" s="3" t="s">
        <v>25</v>
      </c>
    </row>
    <row r="606" s="10" customFormat="1">
      <c r="A606" s="3" t="s">
        <v>1040</v>
      </c>
      <c r="B606" s="3" t="s">
        <v>1041</v>
      </c>
      <c r="C606" s="3"/>
      <c r="D606" s="3"/>
      <c r="E606" s="3"/>
      <c r="F606" s="3"/>
      <c r="G606" s="3"/>
      <c r="H606" s="3"/>
      <c r="I606" s="3"/>
    </row>
    <row r="607" s="10" customFormat="1">
      <c r="A607" s="3" t="s">
        <v>1042</v>
      </c>
      <c r="B607" s="3" t="s">
        <v>1043</v>
      </c>
      <c r="C607" s="3" t="s">
        <v>836</v>
      </c>
      <c r="D607" s="3" t="s">
        <v>836</v>
      </c>
      <c r="E607" s="3" t="s">
        <v>21</v>
      </c>
      <c r="F607" s="3" t="s">
        <v>22</v>
      </c>
      <c r="G607" s="3" t="s">
        <v>23</v>
      </c>
      <c r="H607" s="3" t="s">
        <v>24</v>
      </c>
      <c r="I607" s="3" t="s">
        <v>25</v>
      </c>
    </row>
    <row r="608" s="10" customFormat="1">
      <c r="A608" s="3" t="s">
        <v>1044</v>
      </c>
      <c r="B608" s="3" t="s">
        <v>1045</v>
      </c>
      <c r="C608" s="3"/>
      <c r="D608" s="3"/>
      <c r="E608" s="3"/>
      <c r="F608" s="3"/>
      <c r="G608" s="3"/>
      <c r="H608" s="3"/>
      <c r="I608" s="3"/>
    </row>
    <row r="609" s="10" customFormat="1">
      <c r="A609" s="3" t="s">
        <v>1046</v>
      </c>
      <c r="B609" s="3" t="s">
        <v>1047</v>
      </c>
      <c r="C609" s="3" t="s">
        <v>836</v>
      </c>
      <c r="D609" s="3" t="s">
        <v>836</v>
      </c>
      <c r="E609" s="3" t="s">
        <v>21</v>
      </c>
      <c r="F609" s="3" t="s">
        <v>22</v>
      </c>
      <c r="G609" s="3" t="s">
        <v>23</v>
      </c>
      <c r="H609" s="3" t="s">
        <v>24</v>
      </c>
      <c r="I609" s="3" t="s">
        <v>25</v>
      </c>
    </row>
    <row r="610" s="10" customFormat="1">
      <c r="A610" s="3" t="s">
        <v>1048</v>
      </c>
      <c r="B610" s="3" t="s">
        <v>1049</v>
      </c>
      <c r="C610" s="3" t="s">
        <v>836</v>
      </c>
      <c r="D610" s="3" t="s">
        <v>836</v>
      </c>
      <c r="E610" s="3" t="s">
        <v>21</v>
      </c>
      <c r="F610" s="3" t="s">
        <v>22</v>
      </c>
      <c r="G610" s="3" t="s">
        <v>23</v>
      </c>
      <c r="H610" s="3" t="s">
        <v>24</v>
      </c>
      <c r="I610" s="3" t="s">
        <v>25</v>
      </c>
    </row>
    <row r="611" s="10" customFormat="1">
      <c r="A611" s="3" t="s">
        <v>1050</v>
      </c>
      <c r="B611" s="3" t="s">
        <v>1051</v>
      </c>
      <c r="C611" s="3"/>
      <c r="D611" s="3"/>
      <c r="E611" s="3"/>
      <c r="F611" s="3"/>
      <c r="G611" s="3"/>
      <c r="H611" s="3"/>
      <c r="I611" s="3"/>
    </row>
    <row r="612" s="10" customFormat="1">
      <c r="A612" s="3" t="s">
        <v>1052</v>
      </c>
      <c r="B612" s="3" t="s">
        <v>1053</v>
      </c>
      <c r="C612" s="3"/>
      <c r="D612" s="3"/>
      <c r="E612" s="3"/>
      <c r="F612" s="3"/>
      <c r="G612" s="3"/>
      <c r="H612" s="3"/>
      <c r="I612" s="3"/>
    </row>
    <row r="613" s="10" customFormat="1">
      <c r="A613" s="3" t="s">
        <v>1054</v>
      </c>
      <c r="B613" s="3" t="s">
        <v>1055</v>
      </c>
      <c r="C613" s="3"/>
      <c r="D613" s="3"/>
      <c r="E613" s="3"/>
      <c r="F613" s="3"/>
      <c r="G613" s="3"/>
      <c r="H613" s="3"/>
      <c r="I613" s="3"/>
    </row>
    <row r="614" s="10" customFormat="1">
      <c r="A614" s="3" t="s">
        <v>1056</v>
      </c>
      <c r="B614" s="3" t="s">
        <v>1057</v>
      </c>
      <c r="C614" s="3" t="s">
        <v>836</v>
      </c>
      <c r="D614" s="3" t="s">
        <v>836</v>
      </c>
      <c r="E614" s="3" t="s">
        <v>21</v>
      </c>
      <c r="F614" s="3" t="s">
        <v>22</v>
      </c>
      <c r="G614" s="3" t="s">
        <v>23</v>
      </c>
      <c r="H614" s="3" t="s">
        <v>24</v>
      </c>
      <c r="I614" s="3" t="s">
        <v>25</v>
      </c>
    </row>
    <row r="615" s="10" customFormat="1">
      <c r="A615" s="3" t="s">
        <v>1058</v>
      </c>
      <c r="B615" s="3" t="s">
        <v>108</v>
      </c>
      <c r="C615" s="3"/>
      <c r="D615" s="3"/>
      <c r="E615" s="3"/>
      <c r="F615" s="3"/>
      <c r="G615" s="3"/>
      <c r="H615" s="3"/>
      <c r="I615" s="3"/>
    </row>
    <row r="616" s="10" customFormat="1">
      <c r="A616" s="3" t="s">
        <v>1059</v>
      </c>
      <c r="B616" s="3" t="s">
        <v>1060</v>
      </c>
      <c r="C616" s="3"/>
      <c r="D616" s="3"/>
      <c r="E616" s="3"/>
      <c r="F616" s="3"/>
      <c r="G616" s="3"/>
      <c r="H616" s="3"/>
      <c r="I616" s="3"/>
    </row>
    <row r="617" s="10" customFormat="1">
      <c r="A617" s="3" t="s">
        <v>1061</v>
      </c>
      <c r="B617" s="3" t="s">
        <v>1062</v>
      </c>
      <c r="C617" s="3"/>
      <c r="D617" s="3"/>
      <c r="E617" s="3"/>
      <c r="F617" s="3"/>
      <c r="G617" s="3"/>
      <c r="H617" s="3"/>
      <c r="I617" s="3"/>
    </row>
    <row r="618" s="10" customFormat="1">
      <c r="A618" s="3" t="s">
        <v>1063</v>
      </c>
      <c r="B618" s="3" t="s">
        <v>1062</v>
      </c>
      <c r="C618" s="3" t="s">
        <v>836</v>
      </c>
      <c r="D618" s="3" t="s">
        <v>836</v>
      </c>
      <c r="E618" s="3" t="s">
        <v>21</v>
      </c>
      <c r="F618" s="3" t="s">
        <v>22</v>
      </c>
      <c r="G618" s="3" t="s">
        <v>23</v>
      </c>
      <c r="H618" s="3" t="s">
        <v>24</v>
      </c>
      <c r="I618" s="3" t="s">
        <v>25</v>
      </c>
    </row>
    <row r="619" s="10" customFormat="1">
      <c r="A619" s="3" t="s">
        <v>1064</v>
      </c>
      <c r="B619" s="3" t="s">
        <v>1065</v>
      </c>
      <c r="C619" s="3"/>
      <c r="D619" s="3"/>
      <c r="E619" s="3"/>
      <c r="F619" s="3"/>
      <c r="G619" s="3"/>
      <c r="H619" s="3"/>
      <c r="I619" s="3"/>
    </row>
    <row r="620" s="10" customFormat="1">
      <c r="A620" s="3" t="s">
        <v>1066</v>
      </c>
      <c r="B620" s="3" t="s">
        <v>1065</v>
      </c>
      <c r="C620" s="3" t="s">
        <v>836</v>
      </c>
      <c r="D620" s="3" t="s">
        <v>836</v>
      </c>
      <c r="E620" s="3" t="s">
        <v>21</v>
      </c>
      <c r="F620" s="3" t="s">
        <v>22</v>
      </c>
      <c r="G620" s="3" t="s">
        <v>23</v>
      </c>
      <c r="H620" s="3" t="s">
        <v>24</v>
      </c>
      <c r="I620" s="3" t="s">
        <v>25</v>
      </c>
    </row>
    <row r="621" s="10" customFormat="1">
      <c r="A621" s="3" t="s">
        <v>1067</v>
      </c>
      <c r="B621" s="3" t="s">
        <v>1068</v>
      </c>
      <c r="C621" s="3"/>
      <c r="D621" s="3"/>
      <c r="E621" s="3"/>
      <c r="F621" s="3"/>
      <c r="G621" s="3"/>
      <c r="H621" s="3"/>
      <c r="I621" s="3"/>
    </row>
    <row r="622" s="10" customFormat="1">
      <c r="A622" s="3" t="s">
        <v>1069</v>
      </c>
      <c r="B622" s="3" t="s">
        <v>108</v>
      </c>
      <c r="C622" s="3"/>
      <c r="D622" s="3"/>
      <c r="E622" s="3"/>
      <c r="F622" s="3"/>
      <c r="G622" s="3"/>
      <c r="H622" s="3"/>
      <c r="I622" s="3"/>
    </row>
    <row r="623" s="10" customFormat="1">
      <c r="A623" s="3" t="s">
        <v>1070</v>
      </c>
      <c r="B623" s="3" t="s">
        <v>108</v>
      </c>
      <c r="C623" s="3" t="s">
        <v>836</v>
      </c>
      <c r="D623" s="3" t="s">
        <v>836</v>
      </c>
      <c r="E623" s="3" t="s">
        <v>21</v>
      </c>
      <c r="F623" s="3" t="s">
        <v>22</v>
      </c>
      <c r="G623" s="3" t="s">
        <v>23</v>
      </c>
      <c r="H623" s="3" t="s">
        <v>24</v>
      </c>
      <c r="I623" s="3" t="s">
        <v>25</v>
      </c>
    </row>
    <row r="624" s="10" customFormat="1">
      <c r="A624" s="3" t="s">
        <v>1071</v>
      </c>
      <c r="B624" s="3" t="s">
        <v>1072</v>
      </c>
      <c r="C624" s="3"/>
      <c r="D624" s="3"/>
      <c r="E624" s="3"/>
      <c r="F624" s="3"/>
      <c r="G624" s="3"/>
      <c r="H624" s="3"/>
      <c r="I624" s="3"/>
    </row>
    <row r="625" s="10" customFormat="1">
      <c r="A625" s="3" t="s">
        <v>1073</v>
      </c>
      <c r="B625" s="3" t="s">
        <v>251</v>
      </c>
      <c r="C625" s="3"/>
      <c r="D625" s="3"/>
      <c r="E625" s="3"/>
      <c r="F625" s="3"/>
      <c r="G625" s="3"/>
      <c r="H625" s="3"/>
      <c r="I625" s="3"/>
    </row>
    <row r="626" s="10" customFormat="1">
      <c r="A626" s="3" t="s">
        <v>1074</v>
      </c>
      <c r="B626" s="3" t="s">
        <v>1075</v>
      </c>
      <c r="C626" s="3" t="s">
        <v>836</v>
      </c>
      <c r="D626" s="3" t="s">
        <v>836</v>
      </c>
      <c r="E626" s="3" t="s">
        <v>21</v>
      </c>
      <c r="F626" s="3" t="s">
        <v>22</v>
      </c>
      <c r="G626" s="3" t="s">
        <v>23</v>
      </c>
      <c r="H626" s="3" t="s">
        <v>24</v>
      </c>
      <c r="I626" s="3" t="s">
        <v>25</v>
      </c>
    </row>
    <row r="627" s="10" customFormat="1">
      <c r="A627" s="3" t="s">
        <v>1076</v>
      </c>
      <c r="B627" s="3" t="s">
        <v>263</v>
      </c>
      <c r="C627" s="3"/>
      <c r="D627" s="3"/>
      <c r="E627" s="3"/>
      <c r="F627" s="3"/>
      <c r="G627" s="3"/>
      <c r="H627" s="3"/>
      <c r="I627" s="3"/>
    </row>
    <row r="628" s="10" customFormat="1">
      <c r="A628" s="3" t="s">
        <v>1077</v>
      </c>
      <c r="B628" s="3" t="s">
        <v>263</v>
      </c>
      <c r="C628" s="3" t="s">
        <v>836</v>
      </c>
      <c r="D628" s="3" t="s">
        <v>836</v>
      </c>
      <c r="E628" s="3" t="s">
        <v>21</v>
      </c>
      <c r="F628" s="3" t="s">
        <v>22</v>
      </c>
      <c r="G628" s="3" t="s">
        <v>23</v>
      </c>
      <c r="H628" s="3" t="s">
        <v>24</v>
      </c>
      <c r="I628" s="3" t="s">
        <v>25</v>
      </c>
    </row>
    <row r="629" s="10" customFormat="1">
      <c r="A629" s="3" t="s">
        <v>1078</v>
      </c>
      <c r="B629" s="3" t="s">
        <v>276</v>
      </c>
      <c r="C629" s="3"/>
      <c r="D629" s="3"/>
      <c r="E629" s="3"/>
      <c r="F629" s="3"/>
      <c r="G629" s="3"/>
      <c r="H629" s="3"/>
      <c r="I629" s="3"/>
    </row>
    <row r="630" s="10" customFormat="1">
      <c r="A630" s="3" t="s">
        <v>1079</v>
      </c>
      <c r="B630" s="3" t="s">
        <v>1080</v>
      </c>
      <c r="C630" s="3" t="s">
        <v>836</v>
      </c>
      <c r="D630" s="3" t="s">
        <v>836</v>
      </c>
      <c r="E630" s="3" t="s">
        <v>21</v>
      </c>
      <c r="F630" s="3" t="s">
        <v>22</v>
      </c>
      <c r="G630" s="3" t="s">
        <v>23</v>
      </c>
      <c r="H630" s="3" t="s">
        <v>24</v>
      </c>
      <c r="I630" s="3" t="s">
        <v>25</v>
      </c>
    </row>
    <row r="631" s="10" customFormat="1">
      <c r="A631" s="3" t="s">
        <v>1081</v>
      </c>
      <c r="B631" s="3" t="s">
        <v>283</v>
      </c>
      <c r="C631" s="3"/>
      <c r="D631" s="3"/>
      <c r="E631" s="3"/>
      <c r="F631" s="3"/>
      <c r="G631" s="3"/>
      <c r="H631" s="3"/>
      <c r="I631" s="3"/>
    </row>
    <row r="632" s="10" customFormat="1">
      <c r="A632" s="3" t="s">
        <v>1428</v>
      </c>
      <c r="B632" s="3" t="s">
        <v>283</v>
      </c>
      <c r="C632" s="3" t="s">
        <v>836</v>
      </c>
      <c r="D632" s="3" t="s">
        <v>836</v>
      </c>
      <c r="E632" s="3" t="s">
        <v>21</v>
      </c>
      <c r="F632" s="3" t="s">
        <v>22</v>
      </c>
      <c r="G632" s="3" t="s">
        <v>23</v>
      </c>
      <c r="H632" s="3" t="s">
        <v>24</v>
      </c>
      <c r="I632" s="3" t="s">
        <v>25</v>
      </c>
    </row>
    <row r="633" s="10" customFormat="1">
      <c r="A633" s="3" t="s">
        <v>1082</v>
      </c>
      <c r="B633" s="3" t="s">
        <v>1083</v>
      </c>
      <c r="C633" s="3"/>
      <c r="D633" s="3"/>
      <c r="E633" s="3"/>
      <c r="F633" s="3"/>
      <c r="G633" s="3"/>
      <c r="H633" s="3"/>
      <c r="I633" s="3"/>
    </row>
    <row r="634" s="10" customFormat="1">
      <c r="A634" s="3" t="s">
        <v>1084</v>
      </c>
      <c r="B634" s="3" t="s">
        <v>1085</v>
      </c>
      <c r="C634" s="3"/>
      <c r="D634" s="3"/>
      <c r="E634" s="3"/>
      <c r="F634" s="3"/>
      <c r="G634" s="3"/>
      <c r="H634" s="3"/>
      <c r="I634" s="3"/>
    </row>
    <row r="635" s="10" customFormat="1">
      <c r="A635" s="3" t="s">
        <v>1086</v>
      </c>
      <c r="B635" s="3" t="s">
        <v>1087</v>
      </c>
      <c r="C635" s="3"/>
      <c r="D635" s="3"/>
      <c r="E635" s="3"/>
      <c r="F635" s="3"/>
      <c r="G635" s="3"/>
      <c r="H635" s="3"/>
      <c r="I635" s="3"/>
    </row>
    <row r="636" s="10" customFormat="1">
      <c r="A636" s="3" t="s">
        <v>1088</v>
      </c>
      <c r="B636" s="3" t="s">
        <v>1089</v>
      </c>
      <c r="C636" s="3"/>
      <c r="D636" s="3"/>
      <c r="E636" s="3"/>
      <c r="F636" s="3"/>
      <c r="G636" s="3"/>
      <c r="H636" s="3"/>
      <c r="I636" s="3"/>
    </row>
    <row r="637" s="10" customFormat="1">
      <c r="A637" s="3" t="s">
        <v>1090</v>
      </c>
      <c r="B637" s="3" t="s">
        <v>1089</v>
      </c>
      <c r="C637" s="3" t="s">
        <v>836</v>
      </c>
      <c r="D637" s="3" t="s">
        <v>836</v>
      </c>
      <c r="E637" s="3" t="s">
        <v>21</v>
      </c>
      <c r="F637" s="3" t="s">
        <v>22</v>
      </c>
      <c r="G637" s="3" t="s">
        <v>23</v>
      </c>
      <c r="H637" s="3" t="s">
        <v>24</v>
      </c>
      <c r="I637" s="3" t="s">
        <v>25</v>
      </c>
    </row>
    <row r="638" s="10" customFormat="1">
      <c r="A638" s="3" t="s">
        <v>1091</v>
      </c>
      <c r="B638" s="3" t="s">
        <v>1092</v>
      </c>
      <c r="C638" s="3"/>
      <c r="D638" s="3"/>
      <c r="E638" s="3"/>
      <c r="F638" s="3"/>
      <c r="G638" s="3"/>
      <c r="H638" s="3"/>
      <c r="I638" s="3"/>
    </row>
    <row r="639" s="10" customFormat="1">
      <c r="A639" s="3" t="s">
        <v>1093</v>
      </c>
      <c r="B639" s="3" t="s">
        <v>1094</v>
      </c>
      <c r="C639" s="3"/>
      <c r="D639" s="3"/>
      <c r="E639" s="3"/>
      <c r="F639" s="3"/>
      <c r="G639" s="3"/>
      <c r="H639" s="3"/>
      <c r="I639" s="3"/>
    </row>
    <row r="640" s="10" customFormat="1">
      <c r="A640" s="3" t="s">
        <v>1095</v>
      </c>
      <c r="B640" s="3" t="s">
        <v>1096</v>
      </c>
      <c r="C640" s="3"/>
      <c r="D640" s="3"/>
      <c r="E640" s="3"/>
      <c r="F640" s="3"/>
      <c r="G640" s="3"/>
      <c r="H640" s="3"/>
      <c r="I640" s="3"/>
    </row>
    <row r="641" s="10" customFormat="1">
      <c r="A641" s="3" t="s">
        <v>1097</v>
      </c>
      <c r="B641" s="3" t="s">
        <v>1098</v>
      </c>
      <c r="C641" s="3" t="s">
        <v>836</v>
      </c>
      <c r="D641" s="3" t="s">
        <v>836</v>
      </c>
      <c r="E641" s="3" t="s">
        <v>21</v>
      </c>
      <c r="F641" s="3" t="s">
        <v>22</v>
      </c>
      <c r="G641" s="3" t="s">
        <v>23</v>
      </c>
      <c r="H641" s="3" t="s">
        <v>24</v>
      </c>
      <c r="I641" s="3" t="s">
        <v>25</v>
      </c>
    </row>
    <row r="642" s="10" customFormat="1">
      <c r="A642" s="3" t="s">
        <v>1099</v>
      </c>
      <c r="B642" s="3" t="s">
        <v>1100</v>
      </c>
      <c r="C642" s="3"/>
      <c r="D642" s="3"/>
      <c r="E642" s="3"/>
      <c r="F642" s="3"/>
      <c r="G642" s="3"/>
      <c r="H642" s="3"/>
      <c r="I642" s="3"/>
    </row>
    <row r="643" s="10" customFormat="1">
      <c r="A643" s="3" t="s">
        <v>1101</v>
      </c>
      <c r="B643" s="3" t="s">
        <v>1102</v>
      </c>
      <c r="C643" s="3" t="s">
        <v>836</v>
      </c>
      <c r="D643" s="3" t="s">
        <v>836</v>
      </c>
      <c r="E643" s="3" t="s">
        <v>21</v>
      </c>
      <c r="F643" s="3" t="s">
        <v>22</v>
      </c>
      <c r="G643" s="3" t="s">
        <v>23</v>
      </c>
      <c r="H643" s="3" t="s">
        <v>24</v>
      </c>
      <c r="I643" s="3" t="s">
        <v>25</v>
      </c>
    </row>
    <row r="644" s="10" customFormat="1">
      <c r="A644" s="3" t="s">
        <v>1103</v>
      </c>
      <c r="B644" s="3" t="s">
        <v>1104</v>
      </c>
      <c r="C644" s="3"/>
      <c r="D644" s="3"/>
      <c r="E644" s="3"/>
      <c r="F644" s="3"/>
      <c r="G644" s="3"/>
      <c r="H644" s="3"/>
      <c r="I644" s="3"/>
    </row>
    <row r="645" s="10" customFormat="1">
      <c r="A645" s="3" t="s">
        <v>1105</v>
      </c>
      <c r="B645" s="3" t="s">
        <v>1106</v>
      </c>
      <c r="C645" s="3" t="s">
        <v>836</v>
      </c>
      <c r="D645" s="3" t="s">
        <v>836</v>
      </c>
      <c r="E645" s="3" t="s">
        <v>21</v>
      </c>
      <c r="F645" s="3" t="s">
        <v>22</v>
      </c>
      <c r="G645" s="3" t="s">
        <v>23</v>
      </c>
      <c r="H645" s="3" t="s">
        <v>24</v>
      </c>
      <c r="I645" s="3" t="s">
        <v>25</v>
      </c>
    </row>
    <row r="646" s="10" customFormat="1">
      <c r="A646" s="3" t="s">
        <v>1107</v>
      </c>
      <c r="B646" s="3" t="s">
        <v>1108</v>
      </c>
      <c r="C646" s="3"/>
      <c r="D646" s="3"/>
      <c r="E646" s="3"/>
      <c r="F646" s="3"/>
      <c r="G646" s="3"/>
      <c r="H646" s="3"/>
      <c r="I646" s="3"/>
    </row>
    <row r="647" s="10" customFormat="1">
      <c r="A647" s="3" t="s">
        <v>1109</v>
      </c>
      <c r="B647" s="3" t="s">
        <v>1110</v>
      </c>
      <c r="C647" s="3"/>
      <c r="D647" s="3"/>
      <c r="E647" s="3"/>
      <c r="F647" s="3"/>
      <c r="G647" s="3"/>
      <c r="H647" s="3"/>
      <c r="I647" s="3"/>
    </row>
    <row r="648" s="10" customFormat="1">
      <c r="A648" s="3" t="s">
        <v>1111</v>
      </c>
      <c r="B648" s="3" t="s">
        <v>251</v>
      </c>
      <c r="C648" s="3"/>
      <c r="D648" s="3"/>
      <c r="E648" s="3"/>
      <c r="F648" s="3"/>
      <c r="G648" s="3"/>
      <c r="H648" s="3"/>
      <c r="I648" s="3"/>
    </row>
    <row r="649" s="10" customFormat="1">
      <c r="A649" s="3" t="s">
        <v>1112</v>
      </c>
      <c r="B649" s="3" t="s">
        <v>263</v>
      </c>
      <c r="C649" s="3"/>
      <c r="D649" s="3"/>
      <c r="E649" s="3"/>
      <c r="F649" s="3"/>
      <c r="G649" s="3"/>
      <c r="H649" s="3"/>
      <c r="I649" s="3"/>
    </row>
    <row r="650" s="10" customFormat="1">
      <c r="A650" s="3" t="s">
        <v>1113</v>
      </c>
      <c r="B650" s="3" t="s">
        <v>263</v>
      </c>
      <c r="C650" s="3" t="s">
        <v>836</v>
      </c>
      <c r="D650" s="3" t="s">
        <v>836</v>
      </c>
      <c r="E650" s="3" t="s">
        <v>1114</v>
      </c>
      <c r="F650" s="3" t="s">
        <v>22</v>
      </c>
      <c r="G650" s="3" t="s">
        <v>23</v>
      </c>
      <c r="H650" s="3" t="s">
        <v>24</v>
      </c>
      <c r="I650" s="3" t="s">
        <v>25</v>
      </c>
    </row>
    <row r="651" s="10" customFormat="1">
      <c r="A651" s="3" t="s">
        <v>1115</v>
      </c>
      <c r="B651" s="3" t="s">
        <v>299</v>
      </c>
      <c r="C651" s="3" t="s">
        <v>836</v>
      </c>
      <c r="D651" s="3" t="s">
        <v>836</v>
      </c>
      <c r="E651" s="3" t="s">
        <v>1116</v>
      </c>
      <c r="F651" s="3" t="s">
        <v>22</v>
      </c>
      <c r="G651" s="3" t="s">
        <v>24</v>
      </c>
      <c r="H651" s="3" t="s">
        <v>24</v>
      </c>
      <c r="I651" s="3" t="s">
        <v>25</v>
      </c>
    </row>
    <row r="652" s="10" customFormat="1">
      <c r="A652" s="3" t="s">
        <v>1117</v>
      </c>
      <c r="B652" s="3" t="s">
        <v>276</v>
      </c>
      <c r="C652" s="3"/>
      <c r="D652" s="3"/>
      <c r="E652" s="3"/>
      <c r="F652" s="3"/>
      <c r="G652" s="3"/>
      <c r="H652" s="3"/>
      <c r="I652" s="3"/>
    </row>
    <row r="653" s="10" customFormat="1">
      <c r="A653" s="3" t="s">
        <v>1118</v>
      </c>
      <c r="B653" s="3" t="s">
        <v>276</v>
      </c>
      <c r="C653" s="3" t="s">
        <v>836</v>
      </c>
      <c r="D653" s="3" t="s">
        <v>836</v>
      </c>
      <c r="E653" s="3" t="s">
        <v>1114</v>
      </c>
      <c r="F653" s="3" t="s">
        <v>22</v>
      </c>
      <c r="G653" s="3" t="s">
        <v>23</v>
      </c>
      <c r="H653" s="3" t="s">
        <v>24</v>
      </c>
      <c r="I653" s="3" t="s">
        <v>25</v>
      </c>
    </row>
    <row r="654" s="10" customFormat="1">
      <c r="A654" s="3" t="s">
        <v>1119</v>
      </c>
      <c r="B654" s="3" t="s">
        <v>304</v>
      </c>
      <c r="C654" s="3" t="s">
        <v>836</v>
      </c>
      <c r="D654" s="3" t="s">
        <v>836</v>
      </c>
      <c r="E654" s="3" t="s">
        <v>1116</v>
      </c>
      <c r="F654" s="3" t="s">
        <v>22</v>
      </c>
      <c r="G654" s="3" t="s">
        <v>24</v>
      </c>
      <c r="H654" s="3" t="s">
        <v>24</v>
      </c>
      <c r="I654" s="3" t="s">
        <v>25</v>
      </c>
    </row>
    <row r="655" s="10" customFormat="1">
      <c r="A655" s="3" t="s">
        <v>1120</v>
      </c>
      <c r="B655" s="3" t="s">
        <v>283</v>
      </c>
      <c r="C655" s="3"/>
      <c r="D655" s="3"/>
      <c r="E655" s="3"/>
      <c r="F655" s="3"/>
      <c r="G655" s="3"/>
      <c r="H655" s="3"/>
      <c r="I655" s="3"/>
    </row>
    <row r="656" s="10" customFormat="1">
      <c r="A656" s="3" t="s">
        <v>1121</v>
      </c>
      <c r="B656" s="3" t="s">
        <v>283</v>
      </c>
      <c r="C656" s="3" t="s">
        <v>836</v>
      </c>
      <c r="D656" s="3" t="s">
        <v>836</v>
      </c>
      <c r="E656" s="3" t="s">
        <v>1114</v>
      </c>
      <c r="F656" s="3" t="s">
        <v>22</v>
      </c>
      <c r="G656" s="3" t="s">
        <v>23</v>
      </c>
      <c r="H656" s="3" t="s">
        <v>24</v>
      </c>
      <c r="I656" s="3" t="s">
        <v>25</v>
      </c>
    </row>
    <row r="657" s="10" customFormat="1">
      <c r="A657" s="3" t="s">
        <v>1122</v>
      </c>
      <c r="B657" s="3" t="s">
        <v>1123</v>
      </c>
      <c r="C657" s="3" t="s">
        <v>836</v>
      </c>
      <c r="D657" s="3" t="s">
        <v>836</v>
      </c>
      <c r="E657" s="3" t="s">
        <v>1116</v>
      </c>
      <c r="F657" s="3" t="s">
        <v>22</v>
      </c>
      <c r="G657" s="3" t="s">
        <v>24</v>
      </c>
      <c r="H657" s="3" t="s">
        <v>24</v>
      </c>
      <c r="I657" s="3" t="s">
        <v>25</v>
      </c>
    </row>
    <row r="658" s="10" customFormat="1">
      <c r="A658" s="3" t="s">
        <v>1124</v>
      </c>
      <c r="B658" s="3" t="s">
        <v>1125</v>
      </c>
      <c r="C658" s="3"/>
      <c r="D658" s="3"/>
      <c r="E658" s="3"/>
      <c r="F658" s="3"/>
      <c r="G658" s="3"/>
      <c r="H658" s="3"/>
      <c r="I658" s="3"/>
    </row>
    <row r="659" s="10" customFormat="1">
      <c r="A659" s="3" t="s">
        <v>1126</v>
      </c>
      <c r="B659" s="3" t="s">
        <v>310</v>
      </c>
      <c r="C659" s="3"/>
      <c r="D659" s="3"/>
      <c r="E659" s="3"/>
      <c r="F659" s="3"/>
      <c r="G659" s="3"/>
      <c r="H659" s="3"/>
      <c r="I659" s="3"/>
    </row>
    <row r="660" s="10" customFormat="1">
      <c r="A660" s="3" t="s">
        <v>1429</v>
      </c>
      <c r="B660" s="3" t="s">
        <v>310</v>
      </c>
      <c r="C660" s="3" t="s">
        <v>836</v>
      </c>
      <c r="D660" s="3" t="s">
        <v>836</v>
      </c>
      <c r="E660" s="3" t="s">
        <v>1114</v>
      </c>
      <c r="F660" s="3" t="s">
        <v>22</v>
      </c>
      <c r="G660" s="3" t="s">
        <v>23</v>
      </c>
      <c r="H660" s="3" t="s">
        <v>24</v>
      </c>
      <c r="I660" s="3" t="s">
        <v>25</v>
      </c>
    </row>
    <row r="661" s="10" customFormat="1">
      <c r="A661" s="3" t="s">
        <v>1446</v>
      </c>
      <c r="B661" s="3" t="s">
        <v>1447</v>
      </c>
      <c r="C661" s="3" t="s">
        <v>836</v>
      </c>
      <c r="D661" s="3" t="s">
        <v>836</v>
      </c>
      <c r="E661" s="3" t="s">
        <v>1116</v>
      </c>
      <c r="F661" s="3" t="s">
        <v>22</v>
      </c>
      <c r="G661" s="3" t="s">
        <v>24</v>
      </c>
      <c r="H661" s="3" t="s">
        <v>24</v>
      </c>
      <c r="I661" s="3" t="s">
        <v>25</v>
      </c>
    </row>
    <row r="662" s="10" customFormat="1">
      <c r="A662" s="3" t="s">
        <v>1127</v>
      </c>
      <c r="B662" s="3" t="s">
        <v>1128</v>
      </c>
      <c r="C662" s="3"/>
      <c r="D662" s="3"/>
      <c r="E662" s="3"/>
      <c r="F662" s="3"/>
      <c r="G662" s="3"/>
      <c r="H662" s="3"/>
      <c r="I662" s="3"/>
    </row>
    <row r="663" s="10" customFormat="1">
      <c r="A663" s="3" t="s">
        <v>1129</v>
      </c>
      <c r="B663" s="3" t="s">
        <v>778</v>
      </c>
      <c r="C663" s="3"/>
      <c r="D663" s="3"/>
      <c r="E663" s="3"/>
      <c r="F663" s="3"/>
      <c r="G663" s="3"/>
      <c r="H663" s="3"/>
      <c r="I663" s="3"/>
    </row>
    <row r="664" s="10" customFormat="1">
      <c r="A664" s="3" t="s">
        <v>1130</v>
      </c>
      <c r="B664" s="3" t="s">
        <v>1131</v>
      </c>
      <c r="C664" s="3"/>
      <c r="D664" s="3"/>
      <c r="E664" s="3"/>
      <c r="F664" s="3"/>
      <c r="G664" s="3"/>
      <c r="H664" s="3"/>
      <c r="I664" s="3"/>
    </row>
    <row r="665" s="10" customFormat="1">
      <c r="A665" s="3" t="s">
        <v>1132</v>
      </c>
      <c r="B665" s="3" t="s">
        <v>1133</v>
      </c>
      <c r="C665" s="3"/>
      <c r="D665" s="3"/>
      <c r="E665" s="3"/>
      <c r="F665" s="3"/>
      <c r="G665" s="3"/>
      <c r="H665" s="3"/>
      <c r="I665" s="3"/>
    </row>
    <row r="666" s="10" customFormat="1">
      <c r="A666" s="3" t="s">
        <v>1134</v>
      </c>
      <c r="B666" s="3" t="s">
        <v>1135</v>
      </c>
      <c r="C666" s="3"/>
      <c r="D666" s="3"/>
      <c r="E666" s="3"/>
      <c r="F666" s="3"/>
      <c r="G666" s="3"/>
      <c r="H666" s="3"/>
      <c r="I666" s="3"/>
    </row>
    <row r="667" s="10" customFormat="1">
      <c r="A667" s="3" t="s">
        <v>1136</v>
      </c>
      <c r="B667" s="3" t="s">
        <v>1135</v>
      </c>
      <c r="C667" s="3" t="s">
        <v>836</v>
      </c>
      <c r="D667" s="3" t="s">
        <v>836</v>
      </c>
      <c r="E667" s="3" t="s">
        <v>21</v>
      </c>
      <c r="F667" s="3" t="s">
        <v>22</v>
      </c>
      <c r="G667" s="3" t="s">
        <v>23</v>
      </c>
      <c r="H667" s="3" t="s">
        <v>24</v>
      </c>
      <c r="I667" s="3" t="s">
        <v>25</v>
      </c>
    </row>
    <row r="668" s="10" customFormat="1">
      <c r="A668" s="3" t="s">
        <v>1137</v>
      </c>
      <c r="B668" s="3" t="s">
        <v>1138</v>
      </c>
      <c r="C668" s="3"/>
      <c r="D668" s="3"/>
      <c r="E668" s="3"/>
      <c r="F668" s="3"/>
      <c r="G668" s="3"/>
      <c r="H668" s="3"/>
      <c r="I668" s="3"/>
    </row>
    <row r="669" s="10" customFormat="1">
      <c r="A669" s="3" t="s">
        <v>1139</v>
      </c>
      <c r="B669" s="3" t="s">
        <v>1138</v>
      </c>
      <c r="C669" s="3" t="s">
        <v>836</v>
      </c>
      <c r="D669" s="3" t="s">
        <v>836</v>
      </c>
      <c r="E669" s="3" t="s">
        <v>21</v>
      </c>
      <c r="F669" s="3" t="s">
        <v>22</v>
      </c>
      <c r="G669" s="3" t="s">
        <v>23</v>
      </c>
      <c r="H669" s="3" t="s">
        <v>24</v>
      </c>
      <c r="I669" s="3" t="s">
        <v>25</v>
      </c>
    </row>
    <row r="670" s="10" customFormat="1">
      <c r="A670" s="3" t="s">
        <v>1140</v>
      </c>
      <c r="B670" s="3" t="s">
        <v>1141</v>
      </c>
      <c r="C670" s="3"/>
      <c r="D670" s="3"/>
      <c r="E670" s="3"/>
      <c r="F670" s="3"/>
      <c r="G670" s="3"/>
      <c r="H670" s="3"/>
      <c r="I670" s="3"/>
    </row>
    <row r="671" s="10" customFormat="1">
      <c r="A671" s="3" t="s">
        <v>1142</v>
      </c>
      <c r="B671" s="3" t="s">
        <v>1141</v>
      </c>
      <c r="C671" s="3" t="s">
        <v>836</v>
      </c>
      <c r="D671" s="3" t="s">
        <v>836</v>
      </c>
      <c r="E671" s="3" t="s">
        <v>21</v>
      </c>
      <c r="F671" s="3" t="s">
        <v>22</v>
      </c>
      <c r="G671" s="3" t="s">
        <v>23</v>
      </c>
      <c r="H671" s="3" t="s">
        <v>24</v>
      </c>
      <c r="I671" s="3" t="s">
        <v>25</v>
      </c>
    </row>
    <row r="672" s="10" customFormat="1">
      <c r="A672" s="3" t="s">
        <v>1143</v>
      </c>
      <c r="B672" s="3" t="s">
        <v>1144</v>
      </c>
      <c r="C672" s="3"/>
      <c r="D672" s="3"/>
      <c r="E672" s="3"/>
      <c r="F672" s="3"/>
      <c r="G672" s="3"/>
      <c r="H672" s="3"/>
      <c r="I672" s="3"/>
    </row>
    <row r="673" s="10" customFormat="1">
      <c r="A673" s="3" t="s">
        <v>1145</v>
      </c>
      <c r="B673" s="3" t="s">
        <v>1144</v>
      </c>
      <c r="C673" s="3" t="s">
        <v>836</v>
      </c>
      <c r="D673" s="3" t="s">
        <v>836</v>
      </c>
      <c r="E673" s="3" t="s">
        <v>21</v>
      </c>
      <c r="F673" s="3" t="s">
        <v>22</v>
      </c>
      <c r="G673" s="3" t="s">
        <v>23</v>
      </c>
      <c r="H673" s="3" t="s">
        <v>24</v>
      </c>
      <c r="I673" s="3" t="s">
        <v>25</v>
      </c>
    </row>
    <row r="674" s="10" customFormat="1">
      <c r="A674" s="3" t="s">
        <v>1146</v>
      </c>
      <c r="B674" s="3" t="s">
        <v>1147</v>
      </c>
      <c r="C674" s="3"/>
      <c r="D674" s="3"/>
      <c r="E674" s="3"/>
      <c r="F674" s="3"/>
      <c r="G674" s="3"/>
      <c r="H674" s="3"/>
      <c r="I674" s="3"/>
    </row>
    <row r="675" s="10" customFormat="1">
      <c r="A675" s="3" t="s">
        <v>1148</v>
      </c>
      <c r="B675" s="3" t="s">
        <v>1147</v>
      </c>
      <c r="C675" s="3" t="s">
        <v>836</v>
      </c>
      <c r="D675" s="3" t="s">
        <v>836</v>
      </c>
      <c r="E675" s="3" t="s">
        <v>21</v>
      </c>
      <c r="F675" s="3" t="s">
        <v>22</v>
      </c>
      <c r="G675" s="3" t="s">
        <v>23</v>
      </c>
      <c r="H675" s="3" t="s">
        <v>24</v>
      </c>
      <c r="I675" s="3" t="s">
        <v>25</v>
      </c>
    </row>
    <row r="676" s="10" customFormat="1">
      <c r="A676" s="3" t="s">
        <v>1149</v>
      </c>
      <c r="B676" s="3" t="s">
        <v>1150</v>
      </c>
      <c r="C676" s="3"/>
      <c r="D676" s="3"/>
      <c r="E676" s="3"/>
      <c r="F676" s="3"/>
      <c r="G676" s="3"/>
      <c r="H676" s="3"/>
      <c r="I676" s="3"/>
    </row>
    <row r="677" s="10" customFormat="1">
      <c r="A677" s="3" t="s">
        <v>1151</v>
      </c>
      <c r="B677" s="3" t="s">
        <v>1150</v>
      </c>
      <c r="C677" s="3" t="s">
        <v>836</v>
      </c>
      <c r="D677" s="3" t="s">
        <v>836</v>
      </c>
      <c r="E677" s="3" t="s">
        <v>21</v>
      </c>
      <c r="F677" s="3" t="s">
        <v>22</v>
      </c>
      <c r="G677" s="3" t="s">
        <v>23</v>
      </c>
      <c r="H677" s="3" t="s">
        <v>24</v>
      </c>
      <c r="I677" s="3" t="s">
        <v>25</v>
      </c>
    </row>
    <row r="678" s="10" customFormat="1">
      <c r="A678" s="3" t="s">
        <v>1152</v>
      </c>
      <c r="B678" s="3" t="s">
        <v>108</v>
      </c>
      <c r="C678" s="3"/>
      <c r="D678" s="3"/>
      <c r="E678" s="3"/>
      <c r="F678" s="3"/>
      <c r="G678" s="3"/>
      <c r="H678" s="3"/>
      <c r="I678" s="3"/>
    </row>
    <row r="679" s="10" customFormat="1">
      <c r="A679" s="3" t="s">
        <v>1153</v>
      </c>
      <c r="B679" s="3" t="s">
        <v>108</v>
      </c>
      <c r="C679" s="3" t="s">
        <v>836</v>
      </c>
      <c r="D679" s="3" t="s">
        <v>836</v>
      </c>
      <c r="E679" s="3" t="s">
        <v>21</v>
      </c>
      <c r="F679" s="3" t="s">
        <v>22</v>
      </c>
      <c r="G679" s="3" t="s">
        <v>23</v>
      </c>
      <c r="H679" s="3" t="s">
        <v>24</v>
      </c>
      <c r="I679" s="3" t="s">
        <v>25</v>
      </c>
    </row>
    <row r="680" s="10" customFormat="1">
      <c r="A680" s="3" t="s">
        <v>1154</v>
      </c>
      <c r="B680" s="3" t="s">
        <v>1155</v>
      </c>
      <c r="C680" s="3"/>
      <c r="D680" s="3"/>
      <c r="E680" s="3"/>
      <c r="F680" s="3"/>
      <c r="G680" s="3"/>
      <c r="H680" s="3"/>
      <c r="I680" s="3"/>
    </row>
    <row r="681" s="10" customFormat="1">
      <c r="A681" s="3" t="s">
        <v>1156</v>
      </c>
      <c r="B681" s="3" t="s">
        <v>1155</v>
      </c>
      <c r="C681" s="3"/>
      <c r="D681" s="3"/>
      <c r="E681" s="3"/>
      <c r="F681" s="3"/>
      <c r="G681" s="3"/>
      <c r="H681" s="3"/>
      <c r="I681" s="3"/>
    </row>
    <row r="682" s="10" customFormat="1">
      <c r="A682" s="3" t="s">
        <v>1157</v>
      </c>
      <c r="B682" s="3" t="s">
        <v>1155</v>
      </c>
      <c r="C682" s="3" t="s">
        <v>836</v>
      </c>
      <c r="D682" s="3" t="s">
        <v>836</v>
      </c>
      <c r="E682" s="3" t="s">
        <v>21</v>
      </c>
      <c r="F682" s="3" t="s">
        <v>22</v>
      </c>
      <c r="G682" s="3" t="s">
        <v>23</v>
      </c>
      <c r="H682" s="3" t="s">
        <v>24</v>
      </c>
      <c r="I682" s="3" t="s">
        <v>25</v>
      </c>
    </row>
    <row r="683" s="10" customFormat="1">
      <c r="A683" s="3" t="s">
        <v>1158</v>
      </c>
      <c r="B683" s="3" t="s">
        <v>531</v>
      </c>
      <c r="C683" s="3"/>
      <c r="D683" s="3"/>
      <c r="E683" s="3"/>
      <c r="F683" s="3"/>
      <c r="G683" s="3"/>
      <c r="H683" s="3"/>
      <c r="I683" s="3"/>
    </row>
    <row r="684" s="10" customFormat="1">
      <c r="A684" s="3" t="s">
        <v>1159</v>
      </c>
      <c r="B684" s="3" t="s">
        <v>1160</v>
      </c>
      <c r="C684" s="3"/>
      <c r="D684" s="3"/>
      <c r="E684" s="3"/>
      <c r="F684" s="3"/>
      <c r="G684" s="3"/>
      <c r="H684" s="3"/>
      <c r="I684" s="3"/>
    </row>
    <row r="685" s="10" customFormat="1">
      <c r="A685" s="3" t="s">
        <v>1161</v>
      </c>
      <c r="B685" s="3" t="s">
        <v>1162</v>
      </c>
      <c r="C685" s="3" t="s">
        <v>531</v>
      </c>
      <c r="D685" s="3" t="s">
        <v>836</v>
      </c>
      <c r="E685" s="3" t="s">
        <v>21</v>
      </c>
      <c r="F685" s="3" t="s">
        <v>22</v>
      </c>
      <c r="G685" s="3" t="s">
        <v>23</v>
      </c>
      <c r="H685" s="3" t="s">
        <v>24</v>
      </c>
      <c r="I685" s="3" t="s">
        <v>25</v>
      </c>
    </row>
    <row r="686" s="10" customFormat="1">
      <c r="A686" s="3" t="s">
        <v>1163</v>
      </c>
      <c r="B686" s="3" t="s">
        <v>531</v>
      </c>
      <c r="C686" s="3"/>
      <c r="D686" s="3"/>
      <c r="E686" s="3"/>
      <c r="F686" s="3"/>
      <c r="G686" s="3"/>
      <c r="H686" s="3"/>
      <c r="I686" s="3"/>
    </row>
    <row r="687" s="10" customFormat="1">
      <c r="A687" s="3" t="s">
        <v>1164</v>
      </c>
      <c r="B687" s="3" t="s">
        <v>1165</v>
      </c>
      <c r="C687" s="3" t="s">
        <v>531</v>
      </c>
      <c r="D687" s="3" t="s">
        <v>836</v>
      </c>
      <c r="E687" s="3" t="s">
        <v>1166</v>
      </c>
      <c r="F687" s="3" t="s">
        <v>22</v>
      </c>
      <c r="G687" s="3" t="s">
        <v>23</v>
      </c>
      <c r="H687" s="3" t="s">
        <v>24</v>
      </c>
      <c r="I687" s="3" t="s">
        <v>25</v>
      </c>
    </row>
    <row r="688" s="10" customFormat="1">
      <c r="A688" s="3" t="s">
        <v>1167</v>
      </c>
      <c r="B688" s="3" t="s">
        <v>1168</v>
      </c>
      <c r="C688" s="3"/>
      <c r="D688" s="3"/>
      <c r="E688" s="3"/>
      <c r="F688" s="3"/>
      <c r="G688" s="3"/>
      <c r="H688" s="3"/>
      <c r="I688" s="3"/>
    </row>
    <row r="689" s="10" customFormat="1">
      <c r="A689" s="3" t="s">
        <v>1169</v>
      </c>
      <c r="B689" s="3" t="s">
        <v>831</v>
      </c>
      <c r="C689" s="3"/>
      <c r="D689" s="3"/>
      <c r="E689" s="3"/>
      <c r="F689" s="3"/>
      <c r="G689" s="3"/>
      <c r="H689" s="3"/>
      <c r="I689" s="3"/>
    </row>
    <row r="690" s="10" customFormat="1">
      <c r="A690" s="3" t="s">
        <v>1170</v>
      </c>
      <c r="B690" s="3" t="s">
        <v>833</v>
      </c>
      <c r="C690" s="3"/>
      <c r="D690" s="3"/>
      <c r="E690" s="3"/>
      <c r="F690" s="3"/>
      <c r="G690" s="3"/>
      <c r="H690" s="3"/>
      <c r="I690" s="3"/>
    </row>
    <row r="691" s="10" customFormat="1">
      <c r="A691" s="3" t="s">
        <v>1171</v>
      </c>
      <c r="B691" s="3" t="s">
        <v>833</v>
      </c>
      <c r="C691" s="3" t="s">
        <v>835</v>
      </c>
      <c r="D691" s="3" t="s">
        <v>836</v>
      </c>
      <c r="E691" s="3" t="s">
        <v>21</v>
      </c>
      <c r="F691" s="3" t="s">
        <v>22</v>
      </c>
      <c r="G691" s="3" t="s">
        <v>23</v>
      </c>
      <c r="H691" s="3" t="s">
        <v>24</v>
      </c>
      <c r="I691" s="3" t="s">
        <v>25</v>
      </c>
    </row>
    <row r="692" s="10" customFormat="1">
      <c r="A692" s="3" t="s">
        <v>1172</v>
      </c>
      <c r="B692" s="3" t="s">
        <v>838</v>
      </c>
      <c r="C692" s="3" t="s">
        <v>835</v>
      </c>
      <c r="D692" s="3" t="s">
        <v>836</v>
      </c>
      <c r="E692" s="3" t="s">
        <v>21</v>
      </c>
      <c r="F692" s="3" t="s">
        <v>22</v>
      </c>
      <c r="G692" s="3" t="s">
        <v>24</v>
      </c>
      <c r="H692" s="3" t="s">
        <v>24</v>
      </c>
      <c r="I692" s="3" t="s">
        <v>25</v>
      </c>
    </row>
    <row r="693" s="10" customFormat="1">
      <c r="A693" s="3" t="s">
        <v>1173</v>
      </c>
      <c r="B693" s="3" t="s">
        <v>840</v>
      </c>
      <c r="C693" s="3"/>
      <c r="D693" s="3"/>
      <c r="E693" s="3"/>
      <c r="F693" s="3"/>
      <c r="G693" s="3"/>
      <c r="H693" s="3"/>
      <c r="I693" s="3"/>
    </row>
    <row r="694" s="10" customFormat="1">
      <c r="A694" s="3" t="s">
        <v>1174</v>
      </c>
      <c r="B694" s="3" t="s">
        <v>840</v>
      </c>
      <c r="C694" s="3" t="s">
        <v>835</v>
      </c>
      <c r="D694" s="3" t="s">
        <v>836</v>
      </c>
      <c r="E694" s="3" t="s">
        <v>21</v>
      </c>
      <c r="F694" s="3" t="s">
        <v>22</v>
      </c>
      <c r="G694" s="3" t="s">
        <v>23</v>
      </c>
      <c r="H694" s="3" t="s">
        <v>24</v>
      </c>
      <c r="I694" s="3" t="s">
        <v>25</v>
      </c>
    </row>
    <row r="695" s="10" customFormat="1">
      <c r="A695" s="3" t="s">
        <v>1175</v>
      </c>
      <c r="B695" s="3" t="s">
        <v>843</v>
      </c>
      <c r="C695" s="3" t="s">
        <v>835</v>
      </c>
      <c r="D695" s="3" t="s">
        <v>836</v>
      </c>
      <c r="E695" s="3" t="s">
        <v>21</v>
      </c>
      <c r="F695" s="3" t="s">
        <v>22</v>
      </c>
      <c r="G695" s="3" t="s">
        <v>24</v>
      </c>
      <c r="H695" s="3" t="s">
        <v>24</v>
      </c>
      <c r="I695" s="3" t="s">
        <v>25</v>
      </c>
    </row>
    <row r="696" s="10" customFormat="1">
      <c r="A696" s="3" t="s">
        <v>1176</v>
      </c>
      <c r="B696" s="3" t="s">
        <v>845</v>
      </c>
      <c r="C696" s="3"/>
      <c r="D696" s="3"/>
      <c r="E696" s="3"/>
      <c r="F696" s="3"/>
      <c r="G696" s="3"/>
      <c r="H696" s="3"/>
      <c r="I696" s="3"/>
    </row>
    <row r="697" s="10" customFormat="1">
      <c r="A697" s="3" t="s">
        <v>1177</v>
      </c>
      <c r="B697" s="3" t="s">
        <v>845</v>
      </c>
      <c r="C697" s="3" t="s">
        <v>835</v>
      </c>
      <c r="D697" s="3" t="s">
        <v>836</v>
      </c>
      <c r="E697" s="3" t="s">
        <v>21</v>
      </c>
      <c r="F697" s="3" t="s">
        <v>22</v>
      </c>
      <c r="G697" s="3" t="s">
        <v>23</v>
      </c>
      <c r="H697" s="3" t="s">
        <v>24</v>
      </c>
      <c r="I697" s="3" t="s">
        <v>25</v>
      </c>
    </row>
    <row r="698" s="10" customFormat="1">
      <c r="A698" s="3" t="s">
        <v>1178</v>
      </c>
      <c r="B698" s="3" t="s">
        <v>848</v>
      </c>
      <c r="C698" s="3" t="s">
        <v>835</v>
      </c>
      <c r="D698" s="3" t="s">
        <v>836</v>
      </c>
      <c r="E698" s="3" t="s">
        <v>21</v>
      </c>
      <c r="F698" s="3" t="s">
        <v>22</v>
      </c>
      <c r="G698" s="3" t="s">
        <v>24</v>
      </c>
      <c r="H698" s="3" t="s">
        <v>24</v>
      </c>
      <c r="I698" s="3" t="s">
        <v>25</v>
      </c>
    </row>
    <row r="699" s="10" customFormat="1">
      <c r="A699" s="3" t="s">
        <v>1179</v>
      </c>
      <c r="B699" s="3" t="s">
        <v>850</v>
      </c>
      <c r="C699" s="3"/>
      <c r="D699" s="3"/>
      <c r="E699" s="3"/>
      <c r="F699" s="3"/>
      <c r="G699" s="3"/>
      <c r="H699" s="3"/>
      <c r="I699" s="3"/>
    </row>
    <row r="700" s="10" customFormat="1">
      <c r="A700" s="3" t="s">
        <v>1180</v>
      </c>
      <c r="B700" s="3" t="s">
        <v>850</v>
      </c>
      <c r="C700" s="3" t="s">
        <v>835</v>
      </c>
      <c r="D700" s="3" t="s">
        <v>836</v>
      </c>
      <c r="E700" s="3" t="s">
        <v>21</v>
      </c>
      <c r="F700" s="3" t="s">
        <v>22</v>
      </c>
      <c r="G700" s="3" t="s">
        <v>23</v>
      </c>
      <c r="H700" s="3" t="s">
        <v>24</v>
      </c>
      <c r="I700" s="3" t="s">
        <v>25</v>
      </c>
    </row>
    <row r="701" s="10" customFormat="1">
      <c r="A701" s="3" t="s">
        <v>1181</v>
      </c>
      <c r="B701" s="3" t="s">
        <v>853</v>
      </c>
      <c r="C701" s="3" t="s">
        <v>835</v>
      </c>
      <c r="D701" s="3" t="s">
        <v>836</v>
      </c>
      <c r="E701" s="3" t="s">
        <v>21</v>
      </c>
      <c r="F701" s="3" t="s">
        <v>22</v>
      </c>
      <c r="G701" s="3" t="s">
        <v>24</v>
      </c>
      <c r="H701" s="3" t="s">
        <v>24</v>
      </c>
      <c r="I701" s="3" t="s">
        <v>25</v>
      </c>
    </row>
    <row r="702" s="10" customFormat="1">
      <c r="A702" s="3" t="s">
        <v>1182</v>
      </c>
      <c r="B702" s="3" t="s">
        <v>220</v>
      </c>
      <c r="C702" s="3"/>
      <c r="D702" s="3"/>
      <c r="E702" s="3"/>
      <c r="F702" s="3"/>
      <c r="G702" s="3"/>
      <c r="H702" s="3"/>
      <c r="I702" s="3"/>
    </row>
    <row r="703" s="10" customFormat="1">
      <c r="A703" s="3" t="s">
        <v>1183</v>
      </c>
      <c r="B703" s="3" t="s">
        <v>220</v>
      </c>
      <c r="C703" s="3" t="s">
        <v>835</v>
      </c>
      <c r="D703" s="3" t="s">
        <v>836</v>
      </c>
      <c r="E703" s="3" t="s">
        <v>21</v>
      </c>
      <c r="F703" s="3" t="s">
        <v>22</v>
      </c>
      <c r="G703" s="3" t="s">
        <v>23</v>
      </c>
      <c r="H703" s="3" t="s">
        <v>24</v>
      </c>
      <c r="I703" s="3" t="s">
        <v>25</v>
      </c>
    </row>
    <row r="704" s="10" customFormat="1">
      <c r="A704" s="3" t="s">
        <v>1184</v>
      </c>
      <c r="B704" s="3" t="s">
        <v>857</v>
      </c>
      <c r="C704" s="3" t="s">
        <v>835</v>
      </c>
      <c r="D704" s="3" t="s">
        <v>836</v>
      </c>
      <c r="E704" s="3" t="s">
        <v>21</v>
      </c>
      <c r="F704" s="3" t="s">
        <v>22</v>
      </c>
      <c r="G704" s="3" t="s">
        <v>24</v>
      </c>
      <c r="H704" s="3" t="s">
        <v>24</v>
      </c>
      <c r="I704" s="3" t="s">
        <v>25</v>
      </c>
    </row>
    <row r="705" s="10" customFormat="1">
      <c r="A705" s="3" t="s">
        <v>1185</v>
      </c>
      <c r="B705" s="3" t="s">
        <v>859</v>
      </c>
      <c r="C705" s="3"/>
      <c r="D705" s="3"/>
      <c r="E705" s="3"/>
      <c r="F705" s="3"/>
      <c r="G705" s="3"/>
      <c r="H705" s="3"/>
      <c r="I705" s="3"/>
    </row>
    <row r="706" s="10" customFormat="1">
      <c r="A706" s="3" t="s">
        <v>1186</v>
      </c>
      <c r="B706" s="3" t="s">
        <v>859</v>
      </c>
      <c r="C706" s="3" t="s">
        <v>835</v>
      </c>
      <c r="D706" s="3" t="s">
        <v>836</v>
      </c>
      <c r="E706" s="3" t="s">
        <v>21</v>
      </c>
      <c r="F706" s="3" t="s">
        <v>22</v>
      </c>
      <c r="G706" s="3" t="s">
        <v>23</v>
      </c>
      <c r="H706" s="3" t="s">
        <v>24</v>
      </c>
      <c r="I706" s="3" t="s">
        <v>25</v>
      </c>
    </row>
    <row r="707" s="10" customFormat="1">
      <c r="A707" s="3" t="s">
        <v>1187</v>
      </c>
      <c r="B707" s="3" t="s">
        <v>862</v>
      </c>
      <c r="C707" s="3" t="s">
        <v>835</v>
      </c>
      <c r="D707" s="3" t="s">
        <v>836</v>
      </c>
      <c r="E707" s="3" t="s">
        <v>21</v>
      </c>
      <c r="F707" s="3" t="s">
        <v>22</v>
      </c>
      <c r="G707" s="3" t="s">
        <v>24</v>
      </c>
      <c r="H707" s="3" t="s">
        <v>24</v>
      </c>
      <c r="I707" s="3" t="s">
        <v>25</v>
      </c>
    </row>
    <row r="708" s="10" customFormat="1">
      <c r="A708" s="3" t="s">
        <v>1188</v>
      </c>
      <c r="B708" s="3" t="s">
        <v>636</v>
      </c>
      <c r="C708" s="3"/>
      <c r="D708" s="3"/>
      <c r="E708" s="3"/>
      <c r="F708" s="3"/>
      <c r="G708" s="3"/>
      <c r="H708" s="3"/>
      <c r="I708" s="3"/>
    </row>
    <row r="709" s="10" customFormat="1">
      <c r="A709" s="3" t="s">
        <v>1189</v>
      </c>
      <c r="B709" s="3" t="s">
        <v>636</v>
      </c>
      <c r="C709" s="3" t="s">
        <v>835</v>
      </c>
      <c r="D709" s="3" t="s">
        <v>836</v>
      </c>
      <c r="E709" s="3" t="s">
        <v>21</v>
      </c>
      <c r="F709" s="3" t="s">
        <v>22</v>
      </c>
      <c r="G709" s="3" t="s">
        <v>23</v>
      </c>
      <c r="H709" s="3" t="s">
        <v>24</v>
      </c>
      <c r="I709" s="3" t="s">
        <v>25</v>
      </c>
    </row>
    <row r="710" s="10" customFormat="1">
      <c r="A710" s="3" t="s">
        <v>1190</v>
      </c>
      <c r="B710" s="3" t="s">
        <v>866</v>
      </c>
      <c r="C710" s="3" t="s">
        <v>835</v>
      </c>
      <c r="D710" s="3" t="s">
        <v>836</v>
      </c>
      <c r="E710" s="3" t="s">
        <v>21</v>
      </c>
      <c r="F710" s="3" t="s">
        <v>22</v>
      </c>
      <c r="G710" s="3" t="s">
        <v>24</v>
      </c>
      <c r="H710" s="3" t="s">
        <v>24</v>
      </c>
      <c r="I710" s="3" t="s">
        <v>25</v>
      </c>
    </row>
    <row r="711" s="10" customFormat="1">
      <c r="A711" s="3" t="s">
        <v>1191</v>
      </c>
      <c r="B711" s="3" t="s">
        <v>640</v>
      </c>
      <c r="C711" s="3"/>
      <c r="D711" s="3"/>
      <c r="E711" s="3"/>
      <c r="F711" s="3"/>
      <c r="G711" s="3"/>
      <c r="H711" s="3"/>
      <c r="I711" s="3"/>
    </row>
    <row r="712" s="10" customFormat="1">
      <c r="A712" s="3" t="s">
        <v>1192</v>
      </c>
      <c r="B712" s="3" t="s">
        <v>640</v>
      </c>
      <c r="C712" s="3" t="s">
        <v>835</v>
      </c>
      <c r="D712" s="3" t="s">
        <v>836</v>
      </c>
      <c r="E712" s="3" t="s">
        <v>21</v>
      </c>
      <c r="F712" s="3" t="s">
        <v>22</v>
      </c>
      <c r="G712" s="3" t="s">
        <v>23</v>
      </c>
      <c r="H712" s="3" t="s">
        <v>24</v>
      </c>
      <c r="I712" s="3" t="s">
        <v>25</v>
      </c>
    </row>
    <row r="713" s="10" customFormat="1">
      <c r="A713" s="3" t="s">
        <v>1193</v>
      </c>
      <c r="B713" s="3" t="s">
        <v>870</v>
      </c>
      <c r="C713" s="3" t="s">
        <v>835</v>
      </c>
      <c r="D713" s="3" t="s">
        <v>836</v>
      </c>
      <c r="E713" s="3" t="s">
        <v>21</v>
      </c>
      <c r="F713" s="3" t="s">
        <v>22</v>
      </c>
      <c r="G713" s="3" t="s">
        <v>24</v>
      </c>
      <c r="H713" s="3" t="s">
        <v>24</v>
      </c>
      <c r="I713" s="3" t="s">
        <v>25</v>
      </c>
    </row>
    <row r="714" s="10" customFormat="1">
      <c r="A714" s="3" t="s">
        <v>1194</v>
      </c>
      <c r="B714" s="3" t="s">
        <v>648</v>
      </c>
      <c r="C714" s="3"/>
      <c r="D714" s="3"/>
      <c r="E714" s="3"/>
      <c r="F714" s="3"/>
      <c r="G714" s="3"/>
      <c r="H714" s="3"/>
      <c r="I714" s="3"/>
    </row>
    <row r="715" s="10" customFormat="1">
      <c r="A715" s="3" t="s">
        <v>1195</v>
      </c>
      <c r="B715" s="3" t="s">
        <v>648</v>
      </c>
      <c r="C715" s="3" t="s">
        <v>835</v>
      </c>
      <c r="D715" s="3" t="s">
        <v>836</v>
      </c>
      <c r="E715" s="3" t="s">
        <v>21</v>
      </c>
      <c r="F715" s="3" t="s">
        <v>22</v>
      </c>
      <c r="G715" s="3" t="s">
        <v>23</v>
      </c>
      <c r="H715" s="3" t="s">
        <v>24</v>
      </c>
      <c r="I715" s="3" t="s">
        <v>25</v>
      </c>
    </row>
    <row r="716" s="10" customFormat="1">
      <c r="A716" s="3" t="s">
        <v>1196</v>
      </c>
      <c r="B716" s="3" t="s">
        <v>874</v>
      </c>
      <c r="C716" s="3" t="s">
        <v>835</v>
      </c>
      <c r="D716" s="3" t="s">
        <v>836</v>
      </c>
      <c r="E716" s="3" t="s">
        <v>21</v>
      </c>
      <c r="F716" s="3" t="s">
        <v>22</v>
      </c>
      <c r="G716" s="3" t="s">
        <v>24</v>
      </c>
      <c r="H716" s="3" t="s">
        <v>24</v>
      </c>
      <c r="I716" s="3" t="s">
        <v>25</v>
      </c>
    </row>
    <row r="717" s="10" customFormat="1">
      <c r="A717" s="3" t="s">
        <v>1197</v>
      </c>
      <c r="B717" s="3" t="s">
        <v>644</v>
      </c>
      <c r="C717" s="3"/>
      <c r="D717" s="3"/>
      <c r="E717" s="3"/>
      <c r="F717" s="3"/>
      <c r="G717" s="3"/>
      <c r="H717" s="3"/>
      <c r="I717" s="3"/>
    </row>
    <row r="718" s="10" customFormat="1">
      <c r="A718" s="3" t="s">
        <v>1198</v>
      </c>
      <c r="B718" s="3" t="s">
        <v>644</v>
      </c>
      <c r="C718" s="3" t="s">
        <v>835</v>
      </c>
      <c r="D718" s="3" t="s">
        <v>836</v>
      </c>
      <c r="E718" s="3" t="s">
        <v>21</v>
      </c>
      <c r="F718" s="3" t="s">
        <v>22</v>
      </c>
      <c r="G718" s="3" t="s">
        <v>23</v>
      </c>
      <c r="H718" s="3" t="s">
        <v>24</v>
      </c>
      <c r="I718" s="3" t="s">
        <v>25</v>
      </c>
    </row>
    <row r="719" s="10" customFormat="1">
      <c r="A719" s="3" t="s">
        <v>1199</v>
      </c>
      <c r="B719" s="3" t="s">
        <v>878</v>
      </c>
      <c r="C719" s="3" t="s">
        <v>835</v>
      </c>
      <c r="D719" s="3" t="s">
        <v>836</v>
      </c>
      <c r="E719" s="3" t="s">
        <v>21</v>
      </c>
      <c r="F719" s="3" t="s">
        <v>22</v>
      </c>
      <c r="G719" s="3" t="s">
        <v>24</v>
      </c>
      <c r="H719" s="3" t="s">
        <v>24</v>
      </c>
      <c r="I719" s="3" t="s">
        <v>25</v>
      </c>
    </row>
    <row r="720" s="10" customFormat="1">
      <c r="A720" s="3" t="s">
        <v>1200</v>
      </c>
      <c r="B720" s="3" t="s">
        <v>880</v>
      </c>
      <c r="C720" s="3"/>
      <c r="D720" s="3"/>
      <c r="E720" s="3"/>
      <c r="F720" s="3"/>
      <c r="G720" s="3"/>
      <c r="H720" s="3"/>
      <c r="I720" s="3"/>
    </row>
    <row r="721" s="10" customFormat="1">
      <c r="A721" s="3" t="s">
        <v>1201</v>
      </c>
      <c r="B721" s="3" t="s">
        <v>882</v>
      </c>
      <c r="C721" s="3" t="s">
        <v>835</v>
      </c>
      <c r="D721" s="3" t="s">
        <v>836</v>
      </c>
      <c r="E721" s="3" t="s">
        <v>21</v>
      </c>
      <c r="F721" s="3" t="s">
        <v>22</v>
      </c>
      <c r="G721" s="3" t="s">
        <v>23</v>
      </c>
      <c r="H721" s="3" t="s">
        <v>24</v>
      </c>
      <c r="I721" s="3" t="s">
        <v>25</v>
      </c>
    </row>
    <row r="722" s="10" customFormat="1">
      <c r="A722" s="3" t="s">
        <v>1202</v>
      </c>
      <c r="B722" s="3" t="s">
        <v>884</v>
      </c>
      <c r="C722" s="3" t="s">
        <v>835</v>
      </c>
      <c r="D722" s="3" t="s">
        <v>836</v>
      </c>
      <c r="E722" s="3" t="s">
        <v>21</v>
      </c>
      <c r="F722" s="3" t="s">
        <v>22</v>
      </c>
      <c r="G722" s="3" t="s">
        <v>23</v>
      </c>
      <c r="H722" s="3" t="s">
        <v>24</v>
      </c>
      <c r="I722" s="3" t="s">
        <v>25</v>
      </c>
    </row>
    <row r="723" s="10" customFormat="1">
      <c r="A723" s="3" t="s">
        <v>1203</v>
      </c>
      <c r="B723" s="3" t="s">
        <v>886</v>
      </c>
      <c r="C723" s="3" t="s">
        <v>835</v>
      </c>
      <c r="D723" s="3" t="s">
        <v>836</v>
      </c>
      <c r="E723" s="3" t="s">
        <v>21</v>
      </c>
      <c r="F723" s="3" t="s">
        <v>22</v>
      </c>
      <c r="G723" s="3" t="s">
        <v>24</v>
      </c>
      <c r="H723" s="3" t="s">
        <v>24</v>
      </c>
      <c r="I723" s="3" t="s">
        <v>25</v>
      </c>
    </row>
    <row r="724" s="10" customFormat="1">
      <c r="A724" s="3" t="s">
        <v>1204</v>
      </c>
      <c r="B724" s="3" t="s">
        <v>888</v>
      </c>
      <c r="C724" s="3"/>
      <c r="D724" s="3"/>
      <c r="E724" s="3"/>
      <c r="F724" s="3"/>
      <c r="G724" s="3"/>
      <c r="H724" s="3"/>
      <c r="I724" s="3"/>
    </row>
    <row r="725" s="10" customFormat="1">
      <c r="A725" s="3" t="s">
        <v>1205</v>
      </c>
      <c r="B725" s="3" t="s">
        <v>888</v>
      </c>
      <c r="C725" s="3" t="s">
        <v>835</v>
      </c>
      <c r="D725" s="3" t="s">
        <v>836</v>
      </c>
      <c r="E725" s="3" t="s">
        <v>21</v>
      </c>
      <c r="F725" s="3" t="s">
        <v>22</v>
      </c>
      <c r="G725" s="3" t="s">
        <v>23</v>
      </c>
      <c r="H725" s="3" t="s">
        <v>24</v>
      </c>
      <c r="I725" s="3" t="s">
        <v>25</v>
      </c>
    </row>
    <row r="726" s="10" customFormat="1">
      <c r="A726" s="3" t="s">
        <v>1206</v>
      </c>
      <c r="B726" s="3" t="s">
        <v>891</v>
      </c>
      <c r="C726" s="3" t="s">
        <v>835</v>
      </c>
      <c r="D726" s="3" t="s">
        <v>836</v>
      </c>
      <c r="E726" s="3" t="s">
        <v>21</v>
      </c>
      <c r="F726" s="3" t="s">
        <v>22</v>
      </c>
      <c r="G726" s="3" t="s">
        <v>24</v>
      </c>
      <c r="H726" s="3" t="s">
        <v>24</v>
      </c>
      <c r="I726" s="3" t="s">
        <v>25</v>
      </c>
    </row>
    <row r="727" s="10" customFormat="1">
      <c r="A727" s="3" t="s">
        <v>1207</v>
      </c>
      <c r="B727" s="3" t="s">
        <v>893</v>
      </c>
      <c r="C727" s="3"/>
      <c r="D727" s="3"/>
      <c r="E727" s="3"/>
      <c r="F727" s="3"/>
      <c r="G727" s="3"/>
      <c r="H727" s="3"/>
      <c r="I727" s="3"/>
    </row>
    <row r="728" s="10" customFormat="1">
      <c r="A728" s="3" t="s">
        <v>1208</v>
      </c>
      <c r="B728" s="3" t="s">
        <v>893</v>
      </c>
      <c r="C728" s="3" t="s">
        <v>835</v>
      </c>
      <c r="D728" s="3" t="s">
        <v>836</v>
      </c>
      <c r="E728" s="3" t="s">
        <v>21</v>
      </c>
      <c r="F728" s="3" t="s">
        <v>22</v>
      </c>
      <c r="G728" s="3" t="s">
        <v>23</v>
      </c>
      <c r="H728" s="3" t="s">
        <v>24</v>
      </c>
      <c r="I728" s="3" t="s">
        <v>25</v>
      </c>
    </row>
    <row r="729" s="10" customFormat="1">
      <c r="A729" s="3" t="s">
        <v>1209</v>
      </c>
      <c r="B729" s="3" t="s">
        <v>896</v>
      </c>
      <c r="C729" s="3" t="s">
        <v>835</v>
      </c>
      <c r="D729" s="3" t="s">
        <v>836</v>
      </c>
      <c r="E729" s="3" t="s">
        <v>21</v>
      </c>
      <c r="F729" s="3" t="s">
        <v>22</v>
      </c>
      <c r="G729" s="3" t="s">
        <v>24</v>
      </c>
      <c r="H729" s="3" t="s">
        <v>24</v>
      </c>
      <c r="I729" s="3" t="s">
        <v>25</v>
      </c>
    </row>
    <row r="730" s="10" customFormat="1">
      <c r="A730" s="3" t="s">
        <v>1210</v>
      </c>
      <c r="B730" s="3" t="s">
        <v>898</v>
      </c>
      <c r="C730" s="3"/>
      <c r="D730" s="3"/>
      <c r="E730" s="3"/>
      <c r="F730" s="3"/>
      <c r="G730" s="3"/>
      <c r="H730" s="3"/>
      <c r="I730" s="3"/>
    </row>
    <row r="731" s="10" customFormat="1">
      <c r="A731" s="3" t="s">
        <v>1211</v>
      </c>
      <c r="B731" s="3" t="s">
        <v>898</v>
      </c>
      <c r="C731" s="3" t="s">
        <v>835</v>
      </c>
      <c r="D731" s="3" t="s">
        <v>836</v>
      </c>
      <c r="E731" s="3" t="s">
        <v>21</v>
      </c>
      <c r="F731" s="3" t="s">
        <v>22</v>
      </c>
      <c r="G731" s="3" t="s">
        <v>23</v>
      </c>
      <c r="H731" s="3" t="s">
        <v>24</v>
      </c>
      <c r="I731" s="3" t="s">
        <v>25</v>
      </c>
    </row>
    <row r="732" s="10" customFormat="1">
      <c r="A732" s="3" t="s">
        <v>1212</v>
      </c>
      <c r="B732" s="3" t="s">
        <v>901</v>
      </c>
      <c r="C732" s="3" t="s">
        <v>835</v>
      </c>
      <c r="D732" s="3" t="s">
        <v>836</v>
      </c>
      <c r="E732" s="3" t="s">
        <v>21</v>
      </c>
      <c r="F732" s="3" t="s">
        <v>22</v>
      </c>
      <c r="G732" s="3" t="s">
        <v>24</v>
      </c>
      <c r="H732" s="3" t="s">
        <v>24</v>
      </c>
      <c r="I732" s="3" t="s">
        <v>25</v>
      </c>
    </row>
    <row r="733" s="10" customFormat="1">
      <c r="A733" s="3" t="s">
        <v>1213</v>
      </c>
      <c r="B733" s="3" t="s">
        <v>903</v>
      </c>
      <c r="C733" s="3"/>
      <c r="D733" s="3"/>
      <c r="E733" s="3"/>
      <c r="F733" s="3"/>
      <c r="G733" s="3"/>
      <c r="H733" s="3"/>
      <c r="I733" s="3"/>
    </row>
    <row r="734" s="10" customFormat="1">
      <c r="A734" s="3" t="s">
        <v>1214</v>
      </c>
      <c r="B734" s="3" t="s">
        <v>903</v>
      </c>
      <c r="C734" s="3" t="s">
        <v>835</v>
      </c>
      <c r="D734" s="3" t="s">
        <v>836</v>
      </c>
      <c r="E734" s="3" t="s">
        <v>21</v>
      </c>
      <c r="F734" s="3" t="s">
        <v>22</v>
      </c>
      <c r="G734" s="3" t="s">
        <v>23</v>
      </c>
      <c r="H734" s="3" t="s">
        <v>24</v>
      </c>
      <c r="I734" s="3" t="s">
        <v>25</v>
      </c>
    </row>
    <row r="735" s="10" customFormat="1">
      <c r="A735" s="3" t="s">
        <v>1215</v>
      </c>
      <c r="B735" s="3" t="s">
        <v>906</v>
      </c>
      <c r="C735" s="3" t="s">
        <v>835</v>
      </c>
      <c r="D735" s="3" t="s">
        <v>836</v>
      </c>
      <c r="E735" s="3" t="s">
        <v>21</v>
      </c>
      <c r="F735" s="3" t="s">
        <v>22</v>
      </c>
      <c r="G735" s="3" t="s">
        <v>24</v>
      </c>
      <c r="H735" s="3" t="s">
        <v>24</v>
      </c>
      <c r="I735" s="3" t="s">
        <v>25</v>
      </c>
    </row>
    <row r="736" s="10" customFormat="1">
      <c r="A736" s="3" t="s">
        <v>1216</v>
      </c>
      <c r="B736" s="3" t="s">
        <v>908</v>
      </c>
      <c r="C736" s="3"/>
      <c r="D736" s="3"/>
      <c r="E736" s="3"/>
      <c r="F736" s="3"/>
      <c r="G736" s="3"/>
      <c r="H736" s="3"/>
      <c r="I736" s="3"/>
    </row>
    <row r="737" s="10" customFormat="1">
      <c r="A737" s="3" t="s">
        <v>1217</v>
      </c>
      <c r="B737" s="3" t="s">
        <v>908</v>
      </c>
      <c r="C737" s="3" t="s">
        <v>835</v>
      </c>
      <c r="D737" s="3" t="s">
        <v>836</v>
      </c>
      <c r="E737" s="3" t="s">
        <v>21</v>
      </c>
      <c r="F737" s="3" t="s">
        <v>22</v>
      </c>
      <c r="G737" s="3" t="s">
        <v>23</v>
      </c>
      <c r="H737" s="3" t="s">
        <v>24</v>
      </c>
      <c r="I737" s="3" t="s">
        <v>25</v>
      </c>
    </row>
    <row r="738" s="10" customFormat="1">
      <c r="A738" s="3" t="s">
        <v>1218</v>
      </c>
      <c r="B738" s="3" t="s">
        <v>911</v>
      </c>
      <c r="C738" s="3" t="s">
        <v>835</v>
      </c>
      <c r="D738" s="3" t="s">
        <v>836</v>
      </c>
      <c r="E738" s="3" t="s">
        <v>21</v>
      </c>
      <c r="F738" s="3" t="s">
        <v>22</v>
      </c>
      <c r="G738" s="3" t="s">
        <v>24</v>
      </c>
      <c r="H738" s="3" t="s">
        <v>24</v>
      </c>
      <c r="I738" s="3" t="s">
        <v>25</v>
      </c>
    </row>
    <row r="739" s="10" customFormat="1">
      <c r="A739" s="3" t="s">
        <v>1219</v>
      </c>
      <c r="B739" s="3" t="s">
        <v>913</v>
      </c>
      <c r="C739" s="3"/>
      <c r="D739" s="3"/>
      <c r="E739" s="3"/>
      <c r="F739" s="3"/>
      <c r="G739" s="3"/>
      <c r="H739" s="3"/>
      <c r="I739" s="3"/>
    </row>
    <row r="740" s="10" customFormat="1">
      <c r="A740" s="3" t="s">
        <v>1220</v>
      </c>
      <c r="B740" s="3" t="s">
        <v>913</v>
      </c>
      <c r="C740" s="3" t="s">
        <v>835</v>
      </c>
      <c r="D740" s="3" t="s">
        <v>836</v>
      </c>
      <c r="E740" s="3" t="s">
        <v>21</v>
      </c>
      <c r="F740" s="3" t="s">
        <v>22</v>
      </c>
      <c r="G740" s="3" t="s">
        <v>23</v>
      </c>
      <c r="H740" s="3" t="s">
        <v>24</v>
      </c>
      <c r="I740" s="3" t="s">
        <v>25</v>
      </c>
    </row>
    <row r="741" s="10" customFormat="1">
      <c r="A741" s="3" t="s">
        <v>1221</v>
      </c>
      <c r="B741" s="3" t="s">
        <v>916</v>
      </c>
      <c r="C741" s="3" t="s">
        <v>835</v>
      </c>
      <c r="D741" s="3" t="s">
        <v>836</v>
      </c>
      <c r="E741" s="3" t="s">
        <v>21</v>
      </c>
      <c r="F741" s="3" t="s">
        <v>22</v>
      </c>
      <c r="G741" s="3" t="s">
        <v>24</v>
      </c>
      <c r="H741" s="3" t="s">
        <v>24</v>
      </c>
      <c r="I741" s="3" t="s">
        <v>25</v>
      </c>
    </row>
    <row r="742" s="10" customFormat="1">
      <c r="A742" s="3" t="s">
        <v>1222</v>
      </c>
      <c r="B742" s="3" t="s">
        <v>525</v>
      </c>
      <c r="C742" s="3"/>
      <c r="D742" s="3"/>
      <c r="E742" s="3"/>
      <c r="F742" s="3"/>
      <c r="G742" s="3"/>
      <c r="H742" s="3"/>
      <c r="I742" s="3"/>
    </row>
    <row r="743" s="10" customFormat="1">
      <c r="A743" s="3" t="s">
        <v>1223</v>
      </c>
      <c r="B743" s="3" t="s">
        <v>525</v>
      </c>
      <c r="C743" s="3" t="s">
        <v>835</v>
      </c>
      <c r="D743" s="3" t="s">
        <v>836</v>
      </c>
      <c r="E743" s="3" t="s">
        <v>21</v>
      </c>
      <c r="F743" s="3" t="s">
        <v>22</v>
      </c>
      <c r="G743" s="3" t="s">
        <v>23</v>
      </c>
      <c r="H743" s="3" t="s">
        <v>24</v>
      </c>
      <c r="I743" s="3" t="s">
        <v>25</v>
      </c>
    </row>
    <row r="744" s="10" customFormat="1">
      <c r="A744" s="3" t="s">
        <v>1224</v>
      </c>
      <c r="B744" s="3" t="s">
        <v>920</v>
      </c>
      <c r="C744" s="3" t="s">
        <v>835</v>
      </c>
      <c r="D744" s="3" t="s">
        <v>836</v>
      </c>
      <c r="E744" s="3" t="s">
        <v>21</v>
      </c>
      <c r="F744" s="3" t="s">
        <v>22</v>
      </c>
      <c r="G744" s="3" t="s">
        <v>24</v>
      </c>
      <c r="H744" s="3" t="s">
        <v>24</v>
      </c>
      <c r="I744" s="3" t="s">
        <v>25</v>
      </c>
    </row>
    <row r="745" s="10" customFormat="1">
      <c r="A745" s="3" t="s">
        <v>1225</v>
      </c>
      <c r="B745" s="3" t="s">
        <v>922</v>
      </c>
      <c r="C745" s="3"/>
      <c r="D745" s="3"/>
      <c r="E745" s="3"/>
      <c r="F745" s="3"/>
      <c r="G745" s="3"/>
      <c r="H745" s="3"/>
      <c r="I745" s="3"/>
    </row>
    <row r="746" s="10" customFormat="1">
      <c r="A746" s="3" t="s">
        <v>1226</v>
      </c>
      <c r="B746" s="3" t="s">
        <v>922</v>
      </c>
      <c r="C746" s="3" t="s">
        <v>835</v>
      </c>
      <c r="D746" s="3" t="s">
        <v>836</v>
      </c>
      <c r="E746" s="3" t="s">
        <v>21</v>
      </c>
      <c r="F746" s="3" t="s">
        <v>22</v>
      </c>
      <c r="G746" s="3" t="s">
        <v>23</v>
      </c>
      <c r="H746" s="3" t="s">
        <v>24</v>
      </c>
      <c r="I746" s="3" t="s">
        <v>25</v>
      </c>
    </row>
    <row r="747" s="10" customFormat="1">
      <c r="A747" s="3" t="s">
        <v>1227</v>
      </c>
      <c r="B747" s="3" t="s">
        <v>925</v>
      </c>
      <c r="C747" s="3" t="s">
        <v>835</v>
      </c>
      <c r="D747" s="3" t="s">
        <v>836</v>
      </c>
      <c r="E747" s="3" t="s">
        <v>21</v>
      </c>
      <c r="F747" s="3" t="s">
        <v>22</v>
      </c>
      <c r="G747" s="3" t="s">
        <v>24</v>
      </c>
      <c r="H747" s="3" t="s">
        <v>24</v>
      </c>
      <c r="I747" s="3" t="s">
        <v>25</v>
      </c>
    </row>
    <row r="748" s="10" customFormat="1">
      <c r="A748" s="3" t="s">
        <v>1228</v>
      </c>
      <c r="B748" s="3" t="s">
        <v>927</v>
      </c>
      <c r="C748" s="3"/>
      <c r="D748" s="3"/>
      <c r="E748" s="3"/>
      <c r="F748" s="3"/>
      <c r="G748" s="3"/>
      <c r="H748" s="3"/>
      <c r="I748" s="3"/>
    </row>
    <row r="749" s="10" customFormat="1">
      <c r="A749" s="3" t="s">
        <v>1229</v>
      </c>
      <c r="B749" s="3" t="s">
        <v>927</v>
      </c>
      <c r="C749" s="3" t="s">
        <v>835</v>
      </c>
      <c r="D749" s="3" t="s">
        <v>836</v>
      </c>
      <c r="E749" s="3" t="s">
        <v>21</v>
      </c>
      <c r="F749" s="3" t="s">
        <v>22</v>
      </c>
      <c r="G749" s="3" t="s">
        <v>23</v>
      </c>
      <c r="H749" s="3" t="s">
        <v>24</v>
      </c>
      <c r="I749" s="3" t="s">
        <v>25</v>
      </c>
    </row>
    <row r="750" s="10" customFormat="1">
      <c r="A750" s="3" t="s">
        <v>1230</v>
      </c>
      <c r="B750" s="3" t="s">
        <v>930</v>
      </c>
      <c r="C750" s="3" t="s">
        <v>835</v>
      </c>
      <c r="D750" s="3" t="s">
        <v>836</v>
      </c>
      <c r="E750" s="3" t="s">
        <v>21</v>
      </c>
      <c r="F750" s="3" t="s">
        <v>22</v>
      </c>
      <c r="G750" s="3" t="s">
        <v>24</v>
      </c>
      <c r="H750" s="3" t="s">
        <v>24</v>
      </c>
      <c r="I750" s="3" t="s">
        <v>25</v>
      </c>
    </row>
    <row r="751" s="10" customFormat="1">
      <c r="A751" s="3" t="s">
        <v>1231</v>
      </c>
      <c r="B751" s="3" t="s">
        <v>932</v>
      </c>
      <c r="C751" s="3"/>
      <c r="D751" s="3"/>
      <c r="E751" s="3"/>
      <c r="F751" s="3"/>
      <c r="G751" s="3"/>
      <c r="H751" s="3"/>
      <c r="I751" s="3"/>
    </row>
    <row r="752" s="10" customFormat="1">
      <c r="A752" s="3" t="s">
        <v>1232</v>
      </c>
      <c r="B752" s="3" t="s">
        <v>932</v>
      </c>
      <c r="C752" s="3" t="s">
        <v>835</v>
      </c>
      <c r="D752" s="3" t="s">
        <v>836</v>
      </c>
      <c r="E752" s="3" t="s">
        <v>21</v>
      </c>
      <c r="F752" s="3" t="s">
        <v>22</v>
      </c>
      <c r="G752" s="3" t="s">
        <v>23</v>
      </c>
      <c r="H752" s="3" t="s">
        <v>24</v>
      </c>
      <c r="I752" s="3" t="s">
        <v>25</v>
      </c>
    </row>
    <row r="753" s="10" customFormat="1">
      <c r="A753" s="3" t="s">
        <v>1233</v>
      </c>
      <c r="B753" s="3" t="s">
        <v>935</v>
      </c>
      <c r="C753" s="3" t="s">
        <v>835</v>
      </c>
      <c r="D753" s="3" t="s">
        <v>836</v>
      </c>
      <c r="E753" s="3" t="s">
        <v>21</v>
      </c>
      <c r="F753" s="3" t="s">
        <v>22</v>
      </c>
      <c r="G753" s="3" t="s">
        <v>24</v>
      </c>
      <c r="H753" s="3" t="s">
        <v>24</v>
      </c>
      <c r="I753" s="3" t="s">
        <v>25</v>
      </c>
    </row>
    <row r="754" s="10" customFormat="1">
      <c r="A754" s="3" t="s">
        <v>1234</v>
      </c>
      <c r="B754" s="3" t="s">
        <v>937</v>
      </c>
      <c r="C754" s="3"/>
      <c r="D754" s="3"/>
      <c r="E754" s="3"/>
      <c r="F754" s="3"/>
      <c r="G754" s="3"/>
      <c r="H754" s="3"/>
      <c r="I754" s="3"/>
    </row>
    <row r="755" s="10" customFormat="1">
      <c r="A755" s="3" t="s">
        <v>1235</v>
      </c>
      <c r="B755" s="3" t="s">
        <v>937</v>
      </c>
      <c r="C755" s="3" t="s">
        <v>835</v>
      </c>
      <c r="D755" s="3" t="s">
        <v>836</v>
      </c>
      <c r="E755" s="3" t="s">
        <v>21</v>
      </c>
      <c r="F755" s="3" t="s">
        <v>22</v>
      </c>
      <c r="G755" s="3" t="s">
        <v>23</v>
      </c>
      <c r="H755" s="3" t="s">
        <v>24</v>
      </c>
      <c r="I755" s="3" t="s">
        <v>25</v>
      </c>
    </row>
    <row r="756" s="10" customFormat="1">
      <c r="A756" s="3" t="s">
        <v>1236</v>
      </c>
      <c r="B756" s="3" t="s">
        <v>940</v>
      </c>
      <c r="C756" s="3" t="s">
        <v>835</v>
      </c>
      <c r="D756" s="3" t="s">
        <v>836</v>
      </c>
      <c r="E756" s="3" t="s">
        <v>21</v>
      </c>
      <c r="F756" s="3" t="s">
        <v>22</v>
      </c>
      <c r="G756" s="3" t="s">
        <v>24</v>
      </c>
      <c r="H756" s="3" t="s">
        <v>24</v>
      </c>
      <c r="I756" s="3" t="s">
        <v>25</v>
      </c>
    </row>
    <row r="757" s="10" customFormat="1">
      <c r="A757" s="3" t="s">
        <v>1237</v>
      </c>
      <c r="B757" s="3" t="s">
        <v>942</v>
      </c>
      <c r="C757" s="3"/>
      <c r="D757" s="3"/>
      <c r="E757" s="3"/>
      <c r="F757" s="3"/>
      <c r="G757" s="3"/>
      <c r="H757" s="3"/>
      <c r="I757" s="3"/>
    </row>
    <row r="758" s="10" customFormat="1">
      <c r="A758" s="3" t="s">
        <v>1238</v>
      </c>
      <c r="B758" s="3" t="s">
        <v>942</v>
      </c>
      <c r="C758" s="3" t="s">
        <v>835</v>
      </c>
      <c r="D758" s="3" t="s">
        <v>836</v>
      </c>
      <c r="E758" s="3" t="s">
        <v>21</v>
      </c>
      <c r="F758" s="3" t="s">
        <v>22</v>
      </c>
      <c r="G758" s="3" t="s">
        <v>23</v>
      </c>
      <c r="H758" s="3" t="s">
        <v>24</v>
      </c>
      <c r="I758" s="3" t="s">
        <v>25</v>
      </c>
    </row>
    <row r="759" s="10" customFormat="1">
      <c r="A759" s="3" t="s">
        <v>1239</v>
      </c>
      <c r="B759" s="3" t="s">
        <v>947</v>
      </c>
      <c r="C759" s="3" t="s">
        <v>835</v>
      </c>
      <c r="D759" s="3" t="s">
        <v>836</v>
      </c>
      <c r="E759" s="3" t="s">
        <v>21</v>
      </c>
      <c r="F759" s="3" t="s">
        <v>22</v>
      </c>
      <c r="G759" s="3" t="s">
        <v>24</v>
      </c>
      <c r="H759" s="3" t="s">
        <v>24</v>
      </c>
      <c r="I759" s="3" t="s">
        <v>25</v>
      </c>
    </row>
    <row r="760" s="10" customFormat="1">
      <c r="A760" s="3" t="s">
        <v>1240</v>
      </c>
      <c r="B760" s="3" t="s">
        <v>108</v>
      </c>
      <c r="C760" s="3"/>
      <c r="D760" s="3"/>
      <c r="E760" s="3"/>
      <c r="F760" s="3"/>
      <c r="G760" s="3"/>
      <c r="H760" s="3"/>
      <c r="I760" s="3"/>
    </row>
    <row r="761" s="10" customFormat="1">
      <c r="A761" s="3" t="s">
        <v>1241</v>
      </c>
      <c r="B761" s="3" t="s">
        <v>950</v>
      </c>
      <c r="C761" s="3" t="s">
        <v>835</v>
      </c>
      <c r="D761" s="3" t="s">
        <v>836</v>
      </c>
      <c r="E761" s="3" t="s">
        <v>21</v>
      </c>
      <c r="F761" s="3" t="s">
        <v>22</v>
      </c>
      <c r="G761" s="3" t="s">
        <v>23</v>
      </c>
      <c r="H761" s="3" t="s">
        <v>24</v>
      </c>
      <c r="I761" s="3" t="s">
        <v>25</v>
      </c>
    </row>
    <row r="762" s="10" customFormat="1">
      <c r="A762" s="3" t="s">
        <v>1242</v>
      </c>
      <c r="B762" s="3" t="s">
        <v>952</v>
      </c>
      <c r="C762" s="3" t="s">
        <v>835</v>
      </c>
      <c r="D762" s="3" t="s">
        <v>836</v>
      </c>
      <c r="E762" s="3" t="s">
        <v>21</v>
      </c>
      <c r="F762" s="3" t="s">
        <v>22</v>
      </c>
      <c r="G762" s="3" t="s">
        <v>24</v>
      </c>
      <c r="H762" s="3" t="s">
        <v>24</v>
      </c>
      <c r="I762" s="3" t="s">
        <v>25</v>
      </c>
    </row>
    <row r="763" s="10" customFormat="1">
      <c r="A763" s="3" t="s">
        <v>1243</v>
      </c>
      <c r="B763" s="3" t="s">
        <v>441</v>
      </c>
      <c r="C763" s="3"/>
      <c r="D763" s="3"/>
      <c r="E763" s="3"/>
      <c r="F763" s="3"/>
      <c r="G763" s="3"/>
      <c r="H763" s="3"/>
      <c r="I763" s="3"/>
    </row>
    <row r="764" s="10" customFormat="1">
      <c r="A764" s="3" t="s">
        <v>1244</v>
      </c>
      <c r="B764" s="3" t="s">
        <v>1245</v>
      </c>
      <c r="C764" s="3"/>
      <c r="D764" s="3"/>
      <c r="E764" s="3"/>
      <c r="F764" s="3"/>
      <c r="G764" s="3"/>
      <c r="H764" s="3"/>
      <c r="I764" s="3"/>
    </row>
    <row r="765" s="10" customFormat="1">
      <c r="A765" s="3" t="s">
        <v>1246</v>
      </c>
      <c r="B765" s="3" t="s">
        <v>1045</v>
      </c>
      <c r="C765" s="3"/>
      <c r="D765" s="3"/>
      <c r="E765" s="3"/>
      <c r="F765" s="3"/>
      <c r="G765" s="3"/>
      <c r="H765" s="3"/>
      <c r="I765" s="3"/>
    </row>
    <row r="766" s="10" customFormat="1">
      <c r="A766" s="3" t="s">
        <v>1247</v>
      </c>
      <c r="B766" s="3" t="s">
        <v>1051</v>
      </c>
      <c r="C766" s="3"/>
      <c r="D766" s="3"/>
      <c r="E766" s="3"/>
      <c r="F766" s="3"/>
      <c r="G766" s="3"/>
      <c r="H766" s="3"/>
      <c r="I766" s="3"/>
    </row>
    <row r="767" s="10" customFormat="1">
      <c r="A767" s="3" t="s">
        <v>1248</v>
      </c>
      <c r="B767" s="3" t="s">
        <v>1249</v>
      </c>
      <c r="C767" s="3"/>
      <c r="D767" s="3"/>
      <c r="E767" s="3"/>
      <c r="F767" s="3"/>
      <c r="G767" s="3"/>
      <c r="H767" s="3"/>
      <c r="I767" s="3"/>
    </row>
    <row r="768" s="10" customFormat="1">
      <c r="A768" s="3" t="s">
        <v>1250</v>
      </c>
      <c r="B768" s="3" t="s">
        <v>1251</v>
      </c>
      <c r="C768" s="3" t="s">
        <v>836</v>
      </c>
      <c r="D768" s="3" t="s">
        <v>836</v>
      </c>
      <c r="E768" s="3" t="s">
        <v>21</v>
      </c>
      <c r="F768" s="3" t="s">
        <v>22</v>
      </c>
      <c r="G768" s="3" t="s">
        <v>23</v>
      </c>
      <c r="H768" s="3" t="s">
        <v>24</v>
      </c>
      <c r="I768" s="3" t="s">
        <v>25</v>
      </c>
    </row>
    <row r="769" s="10" customFormat="1">
      <c r="A769" s="3" t="s">
        <v>1252</v>
      </c>
      <c r="B769" s="3" t="s">
        <v>1094</v>
      </c>
      <c r="C769" s="3"/>
      <c r="D769" s="3"/>
      <c r="E769" s="3"/>
      <c r="F769" s="3"/>
      <c r="G769" s="3"/>
      <c r="H769" s="3"/>
      <c r="I769" s="3"/>
    </row>
    <row r="770" s="10" customFormat="1">
      <c r="A770" s="3" t="s">
        <v>1253</v>
      </c>
      <c r="B770" s="3" t="s">
        <v>1254</v>
      </c>
      <c r="C770" s="3"/>
      <c r="D770" s="3"/>
      <c r="E770" s="3"/>
      <c r="F770" s="3"/>
      <c r="G770" s="3"/>
      <c r="H770" s="3"/>
      <c r="I770" s="3"/>
    </row>
    <row r="771" s="10" customFormat="1">
      <c r="A771" s="3" t="s">
        <v>1255</v>
      </c>
      <c r="B771" s="3" t="s">
        <v>778</v>
      </c>
      <c r="C771" s="3"/>
      <c r="D771" s="3"/>
      <c r="E771" s="3"/>
      <c r="F771" s="3"/>
      <c r="G771" s="3"/>
      <c r="H771" s="3"/>
      <c r="I771" s="3"/>
    </row>
    <row r="772" s="10" customFormat="1">
      <c r="A772" s="3" t="s">
        <v>1256</v>
      </c>
      <c r="B772" s="3" t="s">
        <v>436</v>
      </c>
      <c r="C772" s="3"/>
      <c r="D772" s="3"/>
      <c r="E772" s="3"/>
      <c r="F772" s="3"/>
      <c r="G772" s="3"/>
      <c r="H772" s="3"/>
      <c r="I772" s="3"/>
    </row>
    <row r="773" s="10" customFormat="1">
      <c r="A773" s="3" t="s">
        <v>1257</v>
      </c>
      <c r="B773" s="3" t="s">
        <v>436</v>
      </c>
      <c r="C773" s="3" t="s">
        <v>836</v>
      </c>
      <c r="D773" s="3" t="s">
        <v>836</v>
      </c>
      <c r="E773" s="3" t="s">
        <v>21</v>
      </c>
      <c r="F773" s="3" t="s">
        <v>22</v>
      </c>
      <c r="G773" s="3" t="s">
        <v>23</v>
      </c>
      <c r="H773" s="3" t="s">
        <v>24</v>
      </c>
      <c r="I773" s="3" t="s">
        <v>25</v>
      </c>
    </row>
    <row r="774" s="10" customFormat="1">
      <c r="A774" s="3" t="s">
        <v>1258</v>
      </c>
      <c r="B774" s="3" t="s">
        <v>1144</v>
      </c>
      <c r="C774" s="3"/>
      <c r="D774" s="3"/>
      <c r="E774" s="3"/>
      <c r="F774" s="3"/>
      <c r="G774" s="3"/>
      <c r="H774" s="3"/>
      <c r="I774" s="3"/>
    </row>
    <row r="775" s="10" customFormat="1">
      <c r="A775" s="3" t="s">
        <v>1259</v>
      </c>
      <c r="B775" s="3" t="s">
        <v>1260</v>
      </c>
      <c r="C775" s="3"/>
      <c r="D775" s="3"/>
      <c r="E775" s="3"/>
      <c r="F775" s="3"/>
      <c r="G775" s="3"/>
      <c r="H775" s="3"/>
      <c r="I775" s="3"/>
    </row>
    <row r="776" s="10" customFormat="1">
      <c r="A776" s="3" t="s">
        <v>1261</v>
      </c>
      <c r="B776" s="3" t="s">
        <v>1262</v>
      </c>
      <c r="C776" s="3" t="s">
        <v>836</v>
      </c>
      <c r="D776" s="3" t="s">
        <v>836</v>
      </c>
      <c r="E776" s="3" t="s">
        <v>21</v>
      </c>
      <c r="F776" s="3" t="s">
        <v>22</v>
      </c>
      <c r="G776" s="3" t="s">
        <v>23</v>
      </c>
      <c r="H776" s="3" t="s">
        <v>24</v>
      </c>
      <c r="I776" s="3" t="s">
        <v>25</v>
      </c>
    </row>
    <row r="777" s="10" customFormat="1">
      <c r="A777" s="3" t="s">
        <v>1263</v>
      </c>
      <c r="B777" s="3" t="s">
        <v>1264</v>
      </c>
      <c r="C777" s="3"/>
      <c r="D777" s="3"/>
      <c r="E777" s="3"/>
      <c r="F777" s="3"/>
      <c r="G777" s="3"/>
      <c r="H777" s="3"/>
      <c r="I777" s="3"/>
    </row>
    <row r="778" s="10" customFormat="1">
      <c r="A778" s="3" t="s">
        <v>1265</v>
      </c>
      <c r="B778" s="3" t="s">
        <v>755</v>
      </c>
      <c r="C778" s="3"/>
      <c r="D778" s="3"/>
      <c r="E778" s="3"/>
      <c r="F778" s="3"/>
      <c r="G778" s="3"/>
      <c r="H778" s="3"/>
      <c r="I778" s="3"/>
    </row>
    <row r="779" s="10" customFormat="1">
      <c r="A779" s="3" t="s">
        <v>1266</v>
      </c>
      <c r="B779" s="3" t="s">
        <v>1267</v>
      </c>
      <c r="C779" s="3"/>
      <c r="D779" s="3"/>
      <c r="E779" s="3"/>
      <c r="F779" s="3"/>
      <c r="G779" s="3"/>
      <c r="H779" s="3"/>
      <c r="I779" s="3"/>
    </row>
    <row r="780" s="10" customFormat="1">
      <c r="A780" s="3" t="s">
        <v>1268</v>
      </c>
      <c r="B780" s="3" t="s">
        <v>1267</v>
      </c>
      <c r="C780" s="3" t="s">
        <v>836</v>
      </c>
      <c r="D780" s="3" t="s">
        <v>836</v>
      </c>
      <c r="E780" s="3" t="s">
        <v>21</v>
      </c>
      <c r="F780" s="3" t="s">
        <v>22</v>
      </c>
      <c r="G780" s="3" t="s">
        <v>23</v>
      </c>
      <c r="H780" s="3" t="s">
        <v>24</v>
      </c>
      <c r="I780" s="3" t="s">
        <v>25</v>
      </c>
    </row>
    <row r="781" s="10" customFormat="1">
      <c r="A781" s="3" t="s">
        <v>1269</v>
      </c>
      <c r="B781" s="3" t="s">
        <v>436</v>
      </c>
      <c r="C781" s="3"/>
      <c r="D781" s="3"/>
      <c r="E781" s="3"/>
      <c r="F781" s="3"/>
      <c r="G781" s="3"/>
      <c r="H781" s="3"/>
      <c r="I781" s="3"/>
    </row>
    <row r="782" s="10" customFormat="1">
      <c r="A782" s="3" t="s">
        <v>1270</v>
      </c>
      <c r="B782" s="3" t="s">
        <v>436</v>
      </c>
      <c r="C782" s="3" t="s">
        <v>836</v>
      </c>
      <c r="D782" s="3" t="s">
        <v>836</v>
      </c>
      <c r="E782" s="3" t="s">
        <v>21</v>
      </c>
      <c r="F782" s="3" t="s">
        <v>22</v>
      </c>
      <c r="G782" s="3" t="s">
        <v>23</v>
      </c>
      <c r="H782" s="3" t="s">
        <v>24</v>
      </c>
      <c r="I782" s="3" t="s">
        <v>25</v>
      </c>
    </row>
    <row r="783" s="10" customFormat="1">
      <c r="A783" s="3" t="s">
        <v>1271</v>
      </c>
      <c r="B783" s="3" t="s">
        <v>1272</v>
      </c>
      <c r="C783" s="3"/>
      <c r="D783" s="3"/>
      <c r="E783" s="3"/>
      <c r="F783" s="3"/>
      <c r="G783" s="3"/>
      <c r="H783" s="3"/>
      <c r="I783" s="3"/>
    </row>
    <row r="784" s="10" customFormat="1">
      <c r="A784" s="3" t="s">
        <v>1273</v>
      </c>
      <c r="B784" s="3" t="s">
        <v>1274</v>
      </c>
      <c r="C784" s="3" t="s">
        <v>836</v>
      </c>
      <c r="D784" s="3" t="s">
        <v>836</v>
      </c>
      <c r="E784" s="3" t="s">
        <v>21</v>
      </c>
      <c r="F784" s="3" t="s">
        <v>22</v>
      </c>
      <c r="G784" s="3" t="s">
        <v>23</v>
      </c>
      <c r="H784" s="3" t="s">
        <v>24</v>
      </c>
      <c r="I784" s="3" t="s">
        <v>25</v>
      </c>
    </row>
    <row r="785" s="10" customFormat="1">
      <c r="A785" s="3" t="s">
        <v>1275</v>
      </c>
      <c r="B785" s="3" t="s">
        <v>1276</v>
      </c>
      <c r="C785" s="3" t="s">
        <v>836</v>
      </c>
      <c r="D785" s="3" t="s">
        <v>836</v>
      </c>
      <c r="E785" s="3" t="s">
        <v>21</v>
      </c>
      <c r="F785" s="3" t="s">
        <v>22</v>
      </c>
      <c r="G785" s="3" t="s">
        <v>23</v>
      </c>
      <c r="H785" s="3" t="s">
        <v>24</v>
      </c>
      <c r="I785" s="3" t="s">
        <v>25</v>
      </c>
    </row>
    <row r="786" s="10" customFormat="1">
      <c r="A786" s="3" t="s">
        <v>1277</v>
      </c>
      <c r="B786" s="3" t="s">
        <v>757</v>
      </c>
      <c r="C786" s="3"/>
      <c r="D786" s="3"/>
      <c r="E786" s="3"/>
      <c r="F786" s="3"/>
      <c r="G786" s="3"/>
      <c r="H786" s="3"/>
      <c r="I786" s="3"/>
    </row>
    <row r="787" s="10" customFormat="1">
      <c r="A787" s="3" t="s">
        <v>1278</v>
      </c>
      <c r="B787" s="3" t="s">
        <v>762</v>
      </c>
      <c r="C787" s="3"/>
      <c r="D787" s="3"/>
      <c r="E787" s="3"/>
      <c r="F787" s="3"/>
      <c r="G787" s="3"/>
      <c r="H787" s="3"/>
      <c r="I787" s="3"/>
    </row>
    <row r="788" s="10" customFormat="1">
      <c r="A788" s="3" t="s">
        <v>1279</v>
      </c>
      <c r="B788" s="3" t="s">
        <v>762</v>
      </c>
      <c r="C788" s="3" t="s">
        <v>836</v>
      </c>
      <c r="D788" s="3" t="s">
        <v>836</v>
      </c>
      <c r="E788" s="3" t="s">
        <v>21</v>
      </c>
      <c r="F788" s="3" t="s">
        <v>22</v>
      </c>
      <c r="G788" s="3" t="s">
        <v>23</v>
      </c>
      <c r="H788" s="3" t="s">
        <v>24</v>
      </c>
      <c r="I788" s="3" t="s">
        <v>25</v>
      </c>
    </row>
    <row r="789" s="10" customFormat="1">
      <c r="A789" s="3" t="s">
        <v>1280</v>
      </c>
      <c r="B789" s="3" t="s">
        <v>1281</v>
      </c>
      <c r="C789" s="3"/>
      <c r="D789" s="3"/>
      <c r="E789" s="3"/>
      <c r="F789" s="3"/>
      <c r="G789" s="3"/>
      <c r="H789" s="3"/>
      <c r="I789" s="3"/>
    </row>
    <row r="790" s="10" customFormat="1">
      <c r="A790" s="3" t="s">
        <v>1282</v>
      </c>
      <c r="B790" s="3" t="s">
        <v>1281</v>
      </c>
      <c r="C790" s="3" t="s">
        <v>531</v>
      </c>
      <c r="D790" s="3" t="s">
        <v>836</v>
      </c>
      <c r="E790" s="3" t="s">
        <v>21</v>
      </c>
      <c r="F790" s="3" t="s">
        <v>22</v>
      </c>
      <c r="G790" s="3" t="s">
        <v>23</v>
      </c>
      <c r="H790" s="3" t="s">
        <v>24</v>
      </c>
      <c r="I790" s="3" t="s">
        <v>25</v>
      </c>
    </row>
    <row r="791" s="10" customFormat="1">
      <c r="A791" s="3" t="s">
        <v>1283</v>
      </c>
      <c r="B791" s="3" t="s">
        <v>1284</v>
      </c>
      <c r="C791" s="3"/>
      <c r="D791" s="3"/>
      <c r="E791" s="3"/>
      <c r="F791" s="3"/>
      <c r="G791" s="3"/>
      <c r="H791" s="3"/>
      <c r="I791" s="3"/>
    </row>
    <row r="792" s="10" customFormat="1">
      <c r="A792" s="3" t="s">
        <v>1285</v>
      </c>
      <c r="B792" s="3" t="s">
        <v>1286</v>
      </c>
      <c r="C792" s="3"/>
      <c r="D792" s="3"/>
      <c r="E792" s="3"/>
      <c r="F792" s="3"/>
      <c r="G792" s="3"/>
      <c r="H792" s="3"/>
      <c r="I792" s="3"/>
    </row>
    <row r="793" s="10" customFormat="1">
      <c r="A793" s="3" t="s">
        <v>1287</v>
      </c>
      <c r="B793" s="3" t="s">
        <v>1288</v>
      </c>
      <c r="C793" s="3"/>
      <c r="D793" s="3"/>
      <c r="E793" s="3"/>
      <c r="F793" s="3"/>
      <c r="G793" s="3"/>
      <c r="H793" s="3"/>
      <c r="I793" s="3"/>
    </row>
    <row r="794" s="10" customFormat="1">
      <c r="A794" s="3" t="s">
        <v>1289</v>
      </c>
      <c r="B794" s="3" t="s">
        <v>1290</v>
      </c>
      <c r="C794" s="3"/>
      <c r="D794" s="3"/>
      <c r="E794" s="3"/>
      <c r="F794" s="3"/>
      <c r="G794" s="3"/>
      <c r="H794" s="3"/>
      <c r="I794" s="3"/>
    </row>
    <row r="795" s="10" customFormat="1">
      <c r="A795" s="3" t="s">
        <v>1291</v>
      </c>
      <c r="B795" s="3" t="s">
        <v>1292</v>
      </c>
      <c r="C795" s="3"/>
      <c r="D795" s="3"/>
      <c r="E795" s="3"/>
      <c r="F795" s="3"/>
      <c r="G795" s="3"/>
      <c r="H795" s="3"/>
      <c r="I795" s="3"/>
    </row>
    <row r="796" s="10" customFormat="1">
      <c r="A796" s="3" t="s">
        <v>1293</v>
      </c>
      <c r="B796" s="3" t="s">
        <v>1294</v>
      </c>
      <c r="C796" s="3" t="s">
        <v>836</v>
      </c>
      <c r="D796" s="3" t="s">
        <v>836</v>
      </c>
      <c r="E796" s="3" t="s">
        <v>21</v>
      </c>
      <c r="F796" s="3" t="s">
        <v>22</v>
      </c>
      <c r="G796" s="3" t="s">
        <v>23</v>
      </c>
      <c r="H796" s="3" t="s">
        <v>24</v>
      </c>
      <c r="I796" s="3" t="s">
        <v>25</v>
      </c>
    </row>
    <row r="797" s="10" customFormat="1">
      <c r="A797" s="3" t="s">
        <v>1295</v>
      </c>
      <c r="B797" s="3" t="s">
        <v>1296</v>
      </c>
      <c r="C797" s="3"/>
      <c r="D797" s="3"/>
      <c r="E797" s="3"/>
      <c r="F797" s="3"/>
      <c r="G797" s="3"/>
      <c r="H797" s="3"/>
      <c r="I797" s="3"/>
    </row>
    <row r="798" s="10" customFormat="1">
      <c r="A798" s="3" t="s">
        <v>1297</v>
      </c>
      <c r="B798" s="3" t="s">
        <v>1296</v>
      </c>
      <c r="C798" s="3" t="s">
        <v>836</v>
      </c>
      <c r="D798" s="3" t="s">
        <v>836</v>
      </c>
      <c r="E798" s="3" t="s">
        <v>21</v>
      </c>
      <c r="F798" s="3" t="s">
        <v>22</v>
      </c>
      <c r="G798" s="3" t="s">
        <v>23</v>
      </c>
      <c r="H798" s="3" t="s">
        <v>24</v>
      </c>
      <c r="I798" s="3" t="s">
        <v>25</v>
      </c>
    </row>
    <row r="799" s="10" customFormat="1">
      <c r="A799" s="3" t="s">
        <v>1298</v>
      </c>
      <c r="B799" s="3" t="s">
        <v>1299</v>
      </c>
      <c r="C799" s="3"/>
      <c r="D799" s="3"/>
      <c r="E799" s="3"/>
      <c r="F799" s="3"/>
      <c r="G799" s="3"/>
      <c r="H799" s="3"/>
      <c r="I799" s="3"/>
    </row>
    <row r="800" s="10" customFormat="1">
      <c r="A800" s="3" t="s">
        <v>1300</v>
      </c>
      <c r="B800" s="3" t="s">
        <v>1301</v>
      </c>
      <c r="C800" s="3"/>
      <c r="D800" s="3"/>
      <c r="E800" s="3"/>
      <c r="F800" s="3"/>
      <c r="G800" s="3"/>
      <c r="H800" s="3"/>
      <c r="I800" s="3"/>
    </row>
    <row r="801" s="10" customFormat="1">
      <c r="A801" s="3" t="s">
        <v>1302</v>
      </c>
      <c r="B801" s="3" t="s">
        <v>1301</v>
      </c>
      <c r="C801" s="3" t="s">
        <v>836</v>
      </c>
      <c r="D801" s="3" t="s">
        <v>836</v>
      </c>
      <c r="E801" s="3" t="s">
        <v>21</v>
      </c>
      <c r="F801" s="3" t="s">
        <v>22</v>
      </c>
      <c r="G801" s="3" t="s">
        <v>23</v>
      </c>
      <c r="H801" s="3" t="s">
        <v>24</v>
      </c>
      <c r="I801" s="3" t="s">
        <v>25</v>
      </c>
    </row>
    <row r="802" s="10" customFormat="1">
      <c r="A802" s="3" t="s">
        <v>1303</v>
      </c>
      <c r="B802" s="3" t="s">
        <v>1304</v>
      </c>
      <c r="C802" s="3"/>
      <c r="D802" s="3"/>
      <c r="E802" s="3"/>
      <c r="F802" s="3"/>
      <c r="G802" s="3"/>
      <c r="H802" s="3"/>
      <c r="I802" s="3"/>
    </row>
    <row r="803" s="10" customFormat="1">
      <c r="A803" s="3" t="s">
        <v>1430</v>
      </c>
      <c r="B803" s="3" t="s">
        <v>1304</v>
      </c>
      <c r="C803" s="3" t="s">
        <v>836</v>
      </c>
      <c r="D803" s="3" t="s">
        <v>836</v>
      </c>
      <c r="E803" s="3" t="s">
        <v>21</v>
      </c>
      <c r="F803" s="3" t="s">
        <v>22</v>
      </c>
      <c r="G803" s="3" t="s">
        <v>23</v>
      </c>
      <c r="H803" s="3" t="s">
        <v>24</v>
      </c>
      <c r="I803" s="3" t="s">
        <v>25</v>
      </c>
    </row>
    <row r="804" s="10" customFormat="1">
      <c r="A804" s="3" t="s">
        <v>1305</v>
      </c>
      <c r="B804" s="3" t="s">
        <v>790</v>
      </c>
      <c r="C804" s="3"/>
      <c r="D804" s="3"/>
      <c r="E804" s="3"/>
      <c r="F804" s="3"/>
      <c r="G804" s="3"/>
      <c r="H804" s="3"/>
      <c r="I804" s="3"/>
    </row>
    <row r="805" s="10" customFormat="1">
      <c r="A805" s="3" t="s">
        <v>1306</v>
      </c>
      <c r="B805" s="3" t="s">
        <v>790</v>
      </c>
      <c r="C805" s="3" t="s">
        <v>836</v>
      </c>
      <c r="D805" s="3" t="s">
        <v>836</v>
      </c>
      <c r="E805" s="3" t="s">
        <v>21</v>
      </c>
      <c r="F805" s="3" t="s">
        <v>22</v>
      </c>
      <c r="G805" s="3" t="s">
        <v>23</v>
      </c>
      <c r="H805" s="3" t="s">
        <v>24</v>
      </c>
      <c r="I805" s="3" t="s">
        <v>25</v>
      </c>
    </row>
    <row r="806" s="10" customFormat="1">
      <c r="A806" s="3" t="s">
        <v>1307</v>
      </c>
      <c r="B806" s="3" t="s">
        <v>108</v>
      </c>
      <c r="C806" s="3"/>
      <c r="D806" s="3"/>
      <c r="E806" s="3"/>
      <c r="F806" s="3"/>
      <c r="G806" s="3"/>
      <c r="H806" s="3"/>
      <c r="I806" s="3"/>
    </row>
    <row r="807" s="10" customFormat="1">
      <c r="A807" s="3" t="s">
        <v>1308</v>
      </c>
      <c r="B807" s="3" t="s">
        <v>108</v>
      </c>
      <c r="C807" s="3" t="s">
        <v>836</v>
      </c>
      <c r="D807" s="3" t="s">
        <v>836</v>
      </c>
      <c r="E807" s="3" t="s">
        <v>21</v>
      </c>
      <c r="F807" s="3" t="s">
        <v>22</v>
      </c>
      <c r="G807" s="3" t="s">
        <v>23</v>
      </c>
      <c r="H807" s="3" t="s">
        <v>24</v>
      </c>
      <c r="I807" s="3" t="s">
        <v>25</v>
      </c>
    </row>
    <row r="808" s="10" customFormat="1">
      <c r="A808" s="3" t="s">
        <v>1309</v>
      </c>
      <c r="B808" s="3" t="s">
        <v>1310</v>
      </c>
      <c r="C808" s="3"/>
      <c r="D808" s="3"/>
      <c r="E808" s="3"/>
      <c r="F808" s="3"/>
      <c r="G808" s="3"/>
      <c r="H808" s="3"/>
      <c r="I808" s="3"/>
    </row>
    <row r="809" s="10" customFormat="1">
      <c r="A809" s="3" t="s">
        <v>1311</v>
      </c>
      <c r="B809" s="3" t="s">
        <v>1310</v>
      </c>
      <c r="C809" s="3"/>
      <c r="D809" s="3"/>
      <c r="E809" s="3"/>
      <c r="F809" s="3"/>
      <c r="G809" s="3"/>
      <c r="H809" s="3"/>
      <c r="I809" s="3"/>
    </row>
    <row r="810" s="10" customFormat="1">
      <c r="A810" s="3" t="s">
        <v>1312</v>
      </c>
      <c r="B810" s="3" t="s">
        <v>1310</v>
      </c>
      <c r="C810" s="3"/>
      <c r="D810" s="3"/>
      <c r="E810" s="3"/>
      <c r="F810" s="3"/>
      <c r="G810" s="3"/>
      <c r="H810" s="3"/>
      <c r="I810" s="3"/>
    </row>
    <row r="811" s="10" customFormat="1">
      <c r="A811" s="3" t="s">
        <v>1313</v>
      </c>
      <c r="B811" s="3" t="s">
        <v>1310</v>
      </c>
      <c r="C811" s="3" t="s">
        <v>836</v>
      </c>
      <c r="D811" s="3" t="s">
        <v>836</v>
      </c>
      <c r="E811" s="3" t="s">
        <v>21</v>
      </c>
      <c r="F811" s="3" t="s">
        <v>22</v>
      </c>
      <c r="G811" s="3" t="s">
        <v>23</v>
      </c>
      <c r="H811" s="3" t="s">
        <v>24</v>
      </c>
      <c r="I811" s="3" t="s">
        <v>25</v>
      </c>
    </row>
    <row r="812" s="10" customFormat="1">
      <c r="A812" s="3" t="s">
        <v>1314</v>
      </c>
      <c r="B812" s="3" t="s">
        <v>202</v>
      </c>
      <c r="C812" s="3" t="s">
        <v>836</v>
      </c>
      <c r="D812" s="3" t="s">
        <v>836</v>
      </c>
      <c r="E812" s="3" t="s">
        <v>21</v>
      </c>
      <c r="F812" s="3" t="s">
        <v>22</v>
      </c>
      <c r="G812" s="3" t="s">
        <v>23</v>
      </c>
      <c r="H812" s="3" t="s">
        <v>24</v>
      </c>
      <c r="I812" s="3" t="s">
        <v>25</v>
      </c>
    </row>
    <row r="813" s="10" customFormat="1">
      <c r="A813" s="3" t="s">
        <v>1315</v>
      </c>
      <c r="B813" s="3" t="s">
        <v>1316</v>
      </c>
      <c r="C813" s="3"/>
      <c r="D813" s="3"/>
      <c r="E813" s="3"/>
      <c r="F813" s="3"/>
      <c r="G813" s="3"/>
      <c r="H813" s="3"/>
      <c r="I813" s="3"/>
    </row>
    <row r="814" s="10" customFormat="1">
      <c r="A814" s="3" t="s">
        <v>1317</v>
      </c>
      <c r="B814" s="3" t="s">
        <v>1318</v>
      </c>
      <c r="C814" s="3"/>
      <c r="D814" s="3"/>
      <c r="E814" s="3"/>
      <c r="F814" s="3"/>
      <c r="G814" s="3"/>
      <c r="H814" s="3"/>
      <c r="I814" s="3"/>
    </row>
    <row r="815" s="10" customFormat="1">
      <c r="A815" s="3" t="s">
        <v>1319</v>
      </c>
      <c r="B815" s="3" t="s">
        <v>1320</v>
      </c>
      <c r="C815" s="3"/>
      <c r="D815" s="3"/>
      <c r="E815" s="3"/>
      <c r="F815" s="3"/>
      <c r="G815" s="3"/>
      <c r="H815" s="3"/>
      <c r="I815" s="3"/>
    </row>
    <row r="816" s="10" customFormat="1">
      <c r="A816" s="3" t="s">
        <v>1321</v>
      </c>
      <c r="B816" s="3" t="s">
        <v>1322</v>
      </c>
      <c r="C816" s="3"/>
      <c r="D816" s="3"/>
      <c r="E816" s="3"/>
      <c r="F816" s="3"/>
      <c r="G816" s="3"/>
      <c r="H816" s="3"/>
      <c r="I816" s="3"/>
    </row>
    <row r="817" s="10" customFormat="1">
      <c r="A817" s="3" t="s">
        <v>1323</v>
      </c>
      <c r="B817" s="3" t="s">
        <v>60</v>
      </c>
      <c r="C817" s="3"/>
      <c r="D817" s="3"/>
      <c r="E817" s="3"/>
      <c r="F817" s="3"/>
      <c r="G817" s="3"/>
      <c r="H817" s="3"/>
      <c r="I817" s="3"/>
    </row>
    <row r="818" s="10" customFormat="1">
      <c r="A818" s="3" t="s">
        <v>1324</v>
      </c>
      <c r="B818" s="3" t="s">
        <v>60</v>
      </c>
      <c r="C818" s="3"/>
      <c r="D818" s="3"/>
      <c r="E818" s="3"/>
      <c r="F818" s="3"/>
      <c r="G818" s="3"/>
      <c r="H818" s="3"/>
      <c r="I818" s="3"/>
    </row>
    <row r="819" s="10" customFormat="1">
      <c r="A819" s="3" t="s">
        <v>1325</v>
      </c>
      <c r="B819" s="3" t="s">
        <v>60</v>
      </c>
      <c r="C819" s="3" t="s">
        <v>1326</v>
      </c>
      <c r="D819" s="3" t="s">
        <v>1320</v>
      </c>
      <c r="E819" s="3" t="s">
        <v>21</v>
      </c>
      <c r="F819" s="3" t="s">
        <v>22</v>
      </c>
      <c r="G819" s="3" t="s">
        <v>23</v>
      </c>
      <c r="H819" s="3" t="s">
        <v>24</v>
      </c>
      <c r="I819" s="3" t="s">
        <v>25</v>
      </c>
    </row>
    <row r="820" s="10" customFormat="1">
      <c r="A820" s="3" t="s">
        <v>1327</v>
      </c>
      <c r="B820" s="3" t="s">
        <v>441</v>
      </c>
      <c r="C820" s="3"/>
      <c r="D820" s="3"/>
      <c r="E820" s="3"/>
      <c r="F820" s="3"/>
      <c r="G820" s="3"/>
      <c r="H820" s="3"/>
      <c r="I820" s="3"/>
    </row>
    <row r="821" s="10" customFormat="1">
      <c r="A821" s="3" t="s">
        <v>1328</v>
      </c>
      <c r="B821" s="3" t="s">
        <v>441</v>
      </c>
      <c r="C821" s="3"/>
      <c r="D821" s="3"/>
      <c r="E821" s="3"/>
      <c r="F821" s="3"/>
      <c r="G821" s="3"/>
      <c r="H821" s="3"/>
      <c r="I821" s="3"/>
    </row>
    <row r="822" s="10" customFormat="1">
      <c r="A822" s="3" t="s">
        <v>1329</v>
      </c>
      <c r="B822" s="3" t="s">
        <v>441</v>
      </c>
      <c r="C822" s="3" t="s">
        <v>1326</v>
      </c>
      <c r="D822" s="3" t="s">
        <v>1320</v>
      </c>
      <c r="E822" s="3" t="s">
        <v>21</v>
      </c>
      <c r="F822" s="3" t="s">
        <v>22</v>
      </c>
      <c r="G822" s="3" t="s">
        <v>23</v>
      </c>
      <c r="H822" s="3" t="s">
        <v>24</v>
      </c>
      <c r="I822" s="3" t="s">
        <v>25</v>
      </c>
    </row>
    <row r="823" s="10" customFormat="1">
      <c r="A823" s="3" t="s">
        <v>1330</v>
      </c>
      <c r="B823" s="3" t="s">
        <v>1331</v>
      </c>
      <c r="C823" s="3"/>
      <c r="D823" s="3"/>
      <c r="E823" s="3"/>
      <c r="F823" s="3"/>
      <c r="G823" s="3"/>
      <c r="H823" s="3"/>
      <c r="I823" s="3"/>
    </row>
    <row r="824" s="10" customFormat="1">
      <c r="A824" s="3" t="s">
        <v>1332</v>
      </c>
      <c r="B824" s="3" t="s">
        <v>1333</v>
      </c>
      <c r="C824" s="3"/>
      <c r="D824" s="3"/>
      <c r="E824" s="3"/>
      <c r="F824" s="3"/>
      <c r="G824" s="3"/>
      <c r="H824" s="3"/>
      <c r="I824" s="3"/>
    </row>
    <row r="825" s="10" customFormat="1">
      <c r="A825" s="3" t="s">
        <v>1334</v>
      </c>
      <c r="B825" s="3" t="s">
        <v>1333</v>
      </c>
      <c r="C825" s="3"/>
      <c r="D825" s="3"/>
      <c r="E825" s="3"/>
      <c r="F825" s="3"/>
      <c r="G825" s="3"/>
      <c r="H825" s="3"/>
      <c r="I825" s="3"/>
    </row>
    <row r="826" s="10" customFormat="1">
      <c r="A826" s="3" t="s">
        <v>1335</v>
      </c>
      <c r="B826" s="3" t="s">
        <v>1333</v>
      </c>
      <c r="C826" s="3"/>
      <c r="D826" s="3"/>
      <c r="E826" s="3"/>
      <c r="F826" s="3"/>
      <c r="G826" s="3"/>
      <c r="H826" s="3"/>
      <c r="I826" s="3"/>
    </row>
    <row r="827" s="10" customFormat="1">
      <c r="A827" s="3" t="s">
        <v>1336</v>
      </c>
      <c r="B827" s="3" t="s">
        <v>1337</v>
      </c>
      <c r="C827" s="3" t="s">
        <v>1326</v>
      </c>
      <c r="D827" s="3" t="s">
        <v>1333</v>
      </c>
      <c r="E827" s="3" t="s">
        <v>21</v>
      </c>
      <c r="F827" s="3" t="s">
        <v>22</v>
      </c>
      <c r="G827" s="3" t="s">
        <v>23</v>
      </c>
      <c r="H827" s="3" t="s">
        <v>24</v>
      </c>
      <c r="I827" s="3" t="s">
        <v>25</v>
      </c>
    </row>
    <row r="828" s="10" customFormat="1">
      <c r="A828" s="3" t="s">
        <v>1338</v>
      </c>
      <c r="B828" s="3" t="s">
        <v>1339</v>
      </c>
      <c r="C828" s="3"/>
      <c r="D828" s="3"/>
      <c r="E828" s="3"/>
      <c r="F828" s="3"/>
      <c r="G828" s="3"/>
      <c r="H828" s="3"/>
      <c r="I828" s="3"/>
    </row>
    <row r="829" s="10" customFormat="1">
      <c r="A829" s="3" t="s">
        <v>1340</v>
      </c>
      <c r="B829" s="3" t="s">
        <v>1339</v>
      </c>
      <c r="C829" s="3"/>
      <c r="D829" s="3"/>
      <c r="E829" s="3"/>
      <c r="F829" s="3"/>
      <c r="G829" s="3"/>
      <c r="H829" s="3"/>
      <c r="I829" s="3"/>
    </row>
    <row r="830" s="10" customFormat="1">
      <c r="A830" s="3" t="s">
        <v>1341</v>
      </c>
      <c r="B830" s="3" t="s">
        <v>833</v>
      </c>
      <c r="C830" s="3"/>
      <c r="D830" s="3"/>
      <c r="E830" s="3"/>
      <c r="F830" s="3"/>
      <c r="G830" s="3"/>
      <c r="H830" s="3"/>
      <c r="I830" s="3"/>
    </row>
    <row r="831" s="10" customFormat="1">
      <c r="A831" s="3" t="s">
        <v>1342</v>
      </c>
      <c r="B831" s="3" t="s">
        <v>833</v>
      </c>
      <c r="C831" s="3" t="s">
        <v>835</v>
      </c>
      <c r="D831" s="3" t="s">
        <v>1333</v>
      </c>
      <c r="E831" s="3" t="s">
        <v>21</v>
      </c>
      <c r="F831" s="3" t="s">
        <v>22</v>
      </c>
      <c r="G831" s="3" t="s">
        <v>23</v>
      </c>
      <c r="H831" s="3" t="s">
        <v>24</v>
      </c>
      <c r="I831" s="3" t="s">
        <v>25</v>
      </c>
    </row>
    <row r="832" s="10" customFormat="1">
      <c r="A832" s="3" t="s">
        <v>1343</v>
      </c>
      <c r="B832" s="3" t="s">
        <v>840</v>
      </c>
      <c r="C832" s="3"/>
      <c r="D832" s="3"/>
      <c r="E832" s="3"/>
      <c r="F832" s="3"/>
      <c r="G832" s="3"/>
      <c r="H832" s="3"/>
      <c r="I832" s="3"/>
    </row>
    <row r="833" s="10" customFormat="1">
      <c r="A833" s="3" t="s">
        <v>1344</v>
      </c>
      <c r="B833" s="3" t="s">
        <v>840</v>
      </c>
      <c r="C833" s="3" t="s">
        <v>835</v>
      </c>
      <c r="D833" s="3" t="s">
        <v>1333</v>
      </c>
      <c r="E833" s="3" t="s">
        <v>21</v>
      </c>
      <c r="F833" s="3" t="s">
        <v>22</v>
      </c>
      <c r="G833" s="3" t="s">
        <v>23</v>
      </c>
      <c r="H833" s="3" t="s">
        <v>24</v>
      </c>
      <c r="I833" s="3" t="s">
        <v>25</v>
      </c>
    </row>
    <row r="834" s="10" customFormat="1">
      <c r="A834" s="3" t="s">
        <v>1345</v>
      </c>
      <c r="B834" s="3" t="s">
        <v>845</v>
      </c>
      <c r="C834" s="3"/>
      <c r="D834" s="3"/>
      <c r="E834" s="3"/>
      <c r="F834" s="3"/>
      <c r="G834" s="3"/>
      <c r="H834" s="3"/>
      <c r="I834" s="3"/>
    </row>
    <row r="835" s="10" customFormat="1">
      <c r="A835" s="3" t="s">
        <v>1346</v>
      </c>
      <c r="B835" s="3" t="s">
        <v>845</v>
      </c>
      <c r="C835" s="3" t="s">
        <v>835</v>
      </c>
      <c r="D835" s="3" t="s">
        <v>1333</v>
      </c>
      <c r="E835" s="3" t="s">
        <v>21</v>
      </c>
      <c r="F835" s="3" t="s">
        <v>22</v>
      </c>
      <c r="G835" s="3" t="s">
        <v>23</v>
      </c>
      <c r="H835" s="3" t="s">
        <v>24</v>
      </c>
      <c r="I835" s="3" t="s">
        <v>25</v>
      </c>
    </row>
    <row r="836" s="10" customFormat="1">
      <c r="A836" s="3" t="s">
        <v>1347</v>
      </c>
      <c r="B836" s="3" t="s">
        <v>850</v>
      </c>
      <c r="C836" s="3"/>
      <c r="D836" s="3"/>
      <c r="E836" s="3"/>
      <c r="F836" s="3"/>
      <c r="G836" s="3"/>
      <c r="H836" s="3"/>
      <c r="I836" s="3"/>
    </row>
    <row r="837" s="10" customFormat="1">
      <c r="A837" s="3" t="s">
        <v>1348</v>
      </c>
      <c r="B837" s="3" t="s">
        <v>850</v>
      </c>
      <c r="C837" s="3" t="s">
        <v>835</v>
      </c>
      <c r="D837" s="3" t="s">
        <v>1333</v>
      </c>
      <c r="E837" s="3" t="s">
        <v>21</v>
      </c>
      <c r="F837" s="3" t="s">
        <v>22</v>
      </c>
      <c r="G837" s="3" t="s">
        <v>23</v>
      </c>
      <c r="H837" s="3" t="s">
        <v>24</v>
      </c>
      <c r="I837" s="3" t="s">
        <v>25</v>
      </c>
    </row>
    <row r="838" s="10" customFormat="1">
      <c r="A838" s="3" t="s">
        <v>1349</v>
      </c>
      <c r="B838" s="3" t="s">
        <v>220</v>
      </c>
      <c r="C838" s="3"/>
      <c r="D838" s="3"/>
      <c r="E838" s="3"/>
      <c r="F838" s="3"/>
      <c r="G838" s="3"/>
      <c r="H838" s="3"/>
      <c r="I838" s="3"/>
    </row>
    <row r="839" s="10" customFormat="1">
      <c r="A839" s="3" t="s">
        <v>1350</v>
      </c>
      <c r="B839" s="3" t="s">
        <v>220</v>
      </c>
      <c r="C839" s="3" t="s">
        <v>835</v>
      </c>
      <c r="D839" s="3" t="s">
        <v>1333</v>
      </c>
      <c r="E839" s="3" t="s">
        <v>21</v>
      </c>
      <c r="F839" s="3" t="s">
        <v>22</v>
      </c>
      <c r="G839" s="3" t="s">
        <v>23</v>
      </c>
      <c r="H839" s="3" t="s">
        <v>24</v>
      </c>
      <c r="I839" s="3" t="s">
        <v>25</v>
      </c>
    </row>
    <row r="840" s="10" customFormat="1">
      <c r="A840" s="3" t="s">
        <v>1351</v>
      </c>
      <c r="B840" s="3" t="s">
        <v>859</v>
      </c>
      <c r="C840" s="3"/>
      <c r="D840" s="3"/>
      <c r="E840" s="3"/>
      <c r="F840" s="3"/>
      <c r="G840" s="3"/>
      <c r="H840" s="3"/>
      <c r="I840" s="3"/>
    </row>
    <row r="841" s="10" customFormat="1">
      <c r="A841" s="3" t="s">
        <v>1352</v>
      </c>
      <c r="B841" s="3" t="s">
        <v>859</v>
      </c>
      <c r="C841" s="3" t="s">
        <v>835</v>
      </c>
      <c r="D841" s="3" t="s">
        <v>1333</v>
      </c>
      <c r="E841" s="3" t="s">
        <v>21</v>
      </c>
      <c r="F841" s="3" t="s">
        <v>22</v>
      </c>
      <c r="G841" s="3" t="s">
        <v>23</v>
      </c>
      <c r="H841" s="3" t="s">
        <v>24</v>
      </c>
      <c r="I841" s="3" t="s">
        <v>25</v>
      </c>
    </row>
    <row r="842" s="10" customFormat="1">
      <c r="A842" s="3" t="s">
        <v>1353</v>
      </c>
      <c r="B842" s="3" t="s">
        <v>636</v>
      </c>
      <c r="C842" s="3"/>
      <c r="D842" s="3"/>
      <c r="E842" s="3"/>
      <c r="F842" s="3"/>
      <c r="G842" s="3"/>
      <c r="H842" s="3"/>
      <c r="I842" s="3"/>
    </row>
    <row r="843" s="10" customFormat="1">
      <c r="A843" s="3" t="s">
        <v>1354</v>
      </c>
      <c r="B843" s="3" t="s">
        <v>636</v>
      </c>
      <c r="C843" s="3" t="s">
        <v>835</v>
      </c>
      <c r="D843" s="3" t="s">
        <v>1333</v>
      </c>
      <c r="E843" s="3" t="s">
        <v>21</v>
      </c>
      <c r="F843" s="3" t="s">
        <v>22</v>
      </c>
      <c r="G843" s="3" t="s">
        <v>23</v>
      </c>
      <c r="H843" s="3" t="s">
        <v>24</v>
      </c>
      <c r="I843" s="3" t="s">
        <v>25</v>
      </c>
    </row>
    <row r="844" s="10" customFormat="1">
      <c r="A844" s="3" t="s">
        <v>1355</v>
      </c>
      <c r="B844" s="3" t="s">
        <v>640</v>
      </c>
      <c r="C844" s="3"/>
      <c r="D844" s="3"/>
      <c r="E844" s="3"/>
      <c r="F844" s="3"/>
      <c r="G844" s="3"/>
      <c r="H844" s="3"/>
      <c r="I844" s="3"/>
    </row>
    <row r="845" s="10" customFormat="1">
      <c r="A845" s="3" t="s">
        <v>1356</v>
      </c>
      <c r="B845" s="3" t="s">
        <v>640</v>
      </c>
      <c r="C845" s="3" t="s">
        <v>835</v>
      </c>
      <c r="D845" s="3" t="s">
        <v>1333</v>
      </c>
      <c r="E845" s="3" t="s">
        <v>21</v>
      </c>
      <c r="F845" s="3" t="s">
        <v>22</v>
      </c>
      <c r="G845" s="3" t="s">
        <v>23</v>
      </c>
      <c r="H845" s="3" t="s">
        <v>24</v>
      </c>
      <c r="I845" s="3" t="s">
        <v>25</v>
      </c>
    </row>
    <row r="846" s="10" customFormat="1">
      <c r="A846" s="3" t="s">
        <v>1357</v>
      </c>
      <c r="B846" s="3" t="s">
        <v>648</v>
      </c>
      <c r="C846" s="3"/>
      <c r="D846" s="3"/>
      <c r="E846" s="3"/>
      <c r="F846" s="3"/>
      <c r="G846" s="3"/>
      <c r="H846" s="3"/>
      <c r="I846" s="3"/>
    </row>
    <row r="847" s="10" customFormat="1">
      <c r="A847" s="3" t="s">
        <v>1358</v>
      </c>
      <c r="B847" s="3" t="s">
        <v>648</v>
      </c>
      <c r="C847" s="3" t="s">
        <v>835</v>
      </c>
      <c r="D847" s="3" t="s">
        <v>1333</v>
      </c>
      <c r="E847" s="3" t="s">
        <v>21</v>
      </c>
      <c r="F847" s="3" t="s">
        <v>22</v>
      </c>
      <c r="G847" s="3" t="s">
        <v>23</v>
      </c>
      <c r="H847" s="3" t="s">
        <v>24</v>
      </c>
      <c r="I847" s="3" t="s">
        <v>25</v>
      </c>
    </row>
    <row r="848" s="10" customFormat="1">
      <c r="A848" s="3" t="s">
        <v>1359</v>
      </c>
      <c r="B848" s="3" t="s">
        <v>644</v>
      </c>
      <c r="C848" s="3"/>
      <c r="D848" s="3"/>
      <c r="E848" s="3"/>
      <c r="F848" s="3"/>
      <c r="G848" s="3"/>
      <c r="H848" s="3"/>
      <c r="I848" s="3"/>
    </row>
    <row r="849" s="10" customFormat="1">
      <c r="A849" s="3" t="s">
        <v>1360</v>
      </c>
      <c r="B849" s="3" t="s">
        <v>644</v>
      </c>
      <c r="C849" s="3" t="s">
        <v>835</v>
      </c>
      <c r="D849" s="3" t="s">
        <v>1333</v>
      </c>
      <c r="E849" s="3" t="s">
        <v>21</v>
      </c>
      <c r="F849" s="3" t="s">
        <v>22</v>
      </c>
      <c r="G849" s="3" t="s">
        <v>23</v>
      </c>
      <c r="H849" s="3" t="s">
        <v>24</v>
      </c>
      <c r="I849" s="3" t="s">
        <v>25</v>
      </c>
    </row>
    <row r="850" s="10" customFormat="1">
      <c r="A850" s="3" t="s">
        <v>1361</v>
      </c>
      <c r="B850" s="3" t="s">
        <v>880</v>
      </c>
      <c r="C850" s="3"/>
      <c r="D850" s="3"/>
      <c r="E850" s="3"/>
      <c r="F850" s="3"/>
      <c r="G850" s="3"/>
      <c r="H850" s="3"/>
      <c r="I850" s="3"/>
    </row>
    <row r="851" s="10" customFormat="1">
      <c r="A851" s="3" t="s">
        <v>1362</v>
      </c>
      <c r="B851" s="3" t="s">
        <v>888</v>
      </c>
      <c r="C851" s="3"/>
      <c r="D851" s="3"/>
      <c r="E851" s="3"/>
      <c r="F851" s="3"/>
      <c r="G851" s="3"/>
      <c r="H851" s="3"/>
      <c r="I851" s="3"/>
    </row>
    <row r="852" s="10" customFormat="1">
      <c r="A852" s="3" t="s">
        <v>1363</v>
      </c>
      <c r="B852" s="3" t="s">
        <v>888</v>
      </c>
      <c r="C852" s="3" t="s">
        <v>835</v>
      </c>
      <c r="D852" s="3" t="s">
        <v>1333</v>
      </c>
      <c r="E852" s="3" t="s">
        <v>21</v>
      </c>
      <c r="F852" s="3" t="s">
        <v>22</v>
      </c>
      <c r="G852" s="3" t="s">
        <v>23</v>
      </c>
      <c r="H852" s="3" t="s">
        <v>24</v>
      </c>
      <c r="I852" s="3" t="s">
        <v>25</v>
      </c>
    </row>
    <row r="853" s="10" customFormat="1">
      <c r="A853" s="3" t="s">
        <v>1364</v>
      </c>
      <c r="B853" s="3" t="s">
        <v>893</v>
      </c>
      <c r="C853" s="3"/>
      <c r="D853" s="3"/>
      <c r="E853" s="3"/>
      <c r="F853" s="3"/>
      <c r="G853" s="3"/>
      <c r="H853" s="3"/>
      <c r="I853" s="3"/>
    </row>
    <row r="854" s="10" customFormat="1">
      <c r="A854" s="3" t="s">
        <v>1365</v>
      </c>
      <c r="B854" s="3" t="s">
        <v>898</v>
      </c>
      <c r="C854" s="3"/>
      <c r="D854" s="3"/>
      <c r="E854" s="3"/>
      <c r="F854" s="3"/>
      <c r="G854" s="3"/>
      <c r="H854" s="3"/>
      <c r="I854" s="3"/>
    </row>
    <row r="855" s="10" customFormat="1">
      <c r="A855" s="3" t="s">
        <v>1366</v>
      </c>
      <c r="B855" s="3" t="s">
        <v>898</v>
      </c>
      <c r="C855" s="3" t="s">
        <v>835</v>
      </c>
      <c r="D855" s="3" t="s">
        <v>1333</v>
      </c>
      <c r="E855" s="3" t="s">
        <v>21</v>
      </c>
      <c r="F855" s="3" t="s">
        <v>22</v>
      </c>
      <c r="G855" s="3" t="s">
        <v>23</v>
      </c>
      <c r="H855" s="3" t="s">
        <v>24</v>
      </c>
      <c r="I855" s="3" t="s">
        <v>25</v>
      </c>
    </row>
    <row r="856" s="10" customFormat="1">
      <c r="A856" s="3" t="s">
        <v>1367</v>
      </c>
      <c r="B856" s="3" t="s">
        <v>903</v>
      </c>
      <c r="C856" s="3"/>
      <c r="D856" s="3"/>
      <c r="E856" s="3"/>
      <c r="F856" s="3"/>
      <c r="G856" s="3"/>
      <c r="H856" s="3"/>
      <c r="I856" s="3"/>
    </row>
    <row r="857" s="10" customFormat="1">
      <c r="A857" s="3" t="s">
        <v>1368</v>
      </c>
      <c r="B857" s="3" t="s">
        <v>908</v>
      </c>
      <c r="C857" s="3"/>
      <c r="D857" s="3"/>
      <c r="E857" s="3"/>
      <c r="F857" s="3"/>
      <c r="G857" s="3"/>
      <c r="H857" s="3"/>
      <c r="I857" s="3"/>
    </row>
    <row r="858" s="10" customFormat="1">
      <c r="A858" s="3" t="s">
        <v>1369</v>
      </c>
      <c r="B858" s="3" t="s">
        <v>913</v>
      </c>
      <c r="C858" s="3"/>
      <c r="D858" s="3"/>
      <c r="E858" s="3"/>
      <c r="F858" s="3"/>
      <c r="G858" s="3"/>
      <c r="H858" s="3"/>
      <c r="I858" s="3"/>
    </row>
    <row r="859" s="10" customFormat="1">
      <c r="A859" s="3" t="s">
        <v>1370</v>
      </c>
      <c r="B859" s="3" t="s">
        <v>913</v>
      </c>
      <c r="C859" s="3" t="s">
        <v>835</v>
      </c>
      <c r="D859" s="3" t="s">
        <v>1333</v>
      </c>
      <c r="E859" s="3" t="s">
        <v>21</v>
      </c>
      <c r="F859" s="3" t="s">
        <v>22</v>
      </c>
      <c r="G859" s="3" t="s">
        <v>23</v>
      </c>
      <c r="H859" s="3" t="s">
        <v>24</v>
      </c>
      <c r="I859" s="3" t="s">
        <v>25</v>
      </c>
    </row>
    <row r="860" s="10" customFormat="1">
      <c r="A860" s="3" t="s">
        <v>1371</v>
      </c>
      <c r="B860" s="3" t="s">
        <v>525</v>
      </c>
      <c r="C860" s="3"/>
      <c r="D860" s="3"/>
      <c r="E860" s="3"/>
      <c r="F860" s="3"/>
      <c r="G860" s="3"/>
      <c r="H860" s="3"/>
      <c r="I860" s="3"/>
    </row>
    <row r="861" s="10" customFormat="1">
      <c r="A861" s="3" t="s">
        <v>1372</v>
      </c>
      <c r="B861" s="3" t="s">
        <v>525</v>
      </c>
      <c r="C861" s="3" t="s">
        <v>835</v>
      </c>
      <c r="D861" s="3" t="s">
        <v>1333</v>
      </c>
      <c r="E861" s="3" t="s">
        <v>21</v>
      </c>
      <c r="F861" s="3" t="s">
        <v>22</v>
      </c>
      <c r="G861" s="3" t="s">
        <v>23</v>
      </c>
      <c r="H861" s="3" t="s">
        <v>24</v>
      </c>
      <c r="I861" s="3" t="s">
        <v>25</v>
      </c>
    </row>
    <row r="862" s="10" customFormat="1">
      <c r="A862" s="3" t="s">
        <v>1373</v>
      </c>
      <c r="B862" s="3" t="s">
        <v>922</v>
      </c>
      <c r="C862" s="3"/>
      <c r="D862" s="3"/>
      <c r="E862" s="3"/>
      <c r="F862" s="3"/>
      <c r="G862" s="3"/>
      <c r="H862" s="3"/>
      <c r="I862" s="3"/>
    </row>
    <row r="863" s="10" customFormat="1">
      <c r="A863" s="3" t="s">
        <v>1374</v>
      </c>
      <c r="B863" s="3" t="s">
        <v>922</v>
      </c>
      <c r="C863" s="3" t="s">
        <v>835</v>
      </c>
      <c r="D863" s="3" t="s">
        <v>1333</v>
      </c>
      <c r="E863" s="3" t="s">
        <v>21</v>
      </c>
      <c r="F863" s="3" t="s">
        <v>22</v>
      </c>
      <c r="G863" s="3" t="s">
        <v>23</v>
      </c>
      <c r="H863" s="3" t="s">
        <v>24</v>
      </c>
      <c r="I863" s="3" t="s">
        <v>25</v>
      </c>
    </row>
    <row r="864" s="10" customFormat="1">
      <c r="A864" s="3" t="s">
        <v>1375</v>
      </c>
      <c r="B864" s="3" t="s">
        <v>927</v>
      </c>
      <c r="C864" s="3"/>
      <c r="D864" s="3"/>
      <c r="E864" s="3"/>
      <c r="F864" s="3"/>
      <c r="G864" s="3"/>
      <c r="H864" s="3"/>
      <c r="I864" s="3"/>
    </row>
    <row r="865" s="10" customFormat="1">
      <c r="A865" s="3" t="s">
        <v>1376</v>
      </c>
      <c r="B865" s="3" t="s">
        <v>927</v>
      </c>
      <c r="C865" s="3" t="s">
        <v>835</v>
      </c>
      <c r="D865" s="3" t="s">
        <v>1333</v>
      </c>
      <c r="E865" s="3" t="s">
        <v>21</v>
      </c>
      <c r="F865" s="3" t="s">
        <v>22</v>
      </c>
      <c r="G865" s="3" t="s">
        <v>23</v>
      </c>
      <c r="H865" s="3" t="s">
        <v>24</v>
      </c>
      <c r="I865" s="3" t="s">
        <v>25</v>
      </c>
    </row>
    <row r="866" s="10" customFormat="1">
      <c r="A866" s="3" t="s">
        <v>1377</v>
      </c>
      <c r="B866" s="3" t="s">
        <v>932</v>
      </c>
      <c r="C866" s="3"/>
      <c r="D866" s="3"/>
      <c r="E866" s="3"/>
      <c r="F866" s="3"/>
      <c r="G866" s="3"/>
      <c r="H866" s="3"/>
      <c r="I866" s="3"/>
    </row>
    <row r="867" s="10" customFormat="1">
      <c r="A867" s="3" t="s">
        <v>1378</v>
      </c>
      <c r="B867" s="3" t="s">
        <v>932</v>
      </c>
      <c r="C867" s="3" t="s">
        <v>835</v>
      </c>
      <c r="D867" s="3" t="s">
        <v>1333</v>
      </c>
      <c r="E867" s="3" t="s">
        <v>21</v>
      </c>
      <c r="F867" s="3" t="s">
        <v>22</v>
      </c>
      <c r="G867" s="3" t="s">
        <v>23</v>
      </c>
      <c r="H867" s="3" t="s">
        <v>24</v>
      </c>
      <c r="I867" s="3" t="s">
        <v>25</v>
      </c>
    </row>
    <row r="868" s="10" customFormat="1">
      <c r="A868" s="3" t="s">
        <v>1379</v>
      </c>
      <c r="B868" s="3" t="s">
        <v>937</v>
      </c>
      <c r="C868" s="3"/>
      <c r="D868" s="3"/>
      <c r="E868" s="3"/>
      <c r="F868" s="3"/>
      <c r="G868" s="3"/>
      <c r="H868" s="3"/>
      <c r="I868" s="3"/>
    </row>
    <row r="869" s="10" customFormat="1">
      <c r="A869" s="3" t="s">
        <v>1380</v>
      </c>
      <c r="B869" s="3" t="s">
        <v>937</v>
      </c>
      <c r="C869" s="3" t="s">
        <v>835</v>
      </c>
      <c r="D869" s="3" t="s">
        <v>1333</v>
      </c>
      <c r="E869" s="3" t="s">
        <v>21</v>
      </c>
      <c r="F869" s="3" t="s">
        <v>22</v>
      </c>
      <c r="G869" s="3" t="s">
        <v>23</v>
      </c>
      <c r="H869" s="3" t="s">
        <v>24</v>
      </c>
      <c r="I869" s="3" t="s">
        <v>25</v>
      </c>
    </row>
    <row r="870" s="10" customFormat="1">
      <c r="A870" s="3" t="s">
        <v>1381</v>
      </c>
      <c r="B870" s="3" t="s">
        <v>942</v>
      </c>
      <c r="C870" s="3"/>
      <c r="D870" s="3"/>
      <c r="E870" s="3"/>
      <c r="F870" s="3"/>
      <c r="G870" s="3"/>
      <c r="H870" s="3"/>
      <c r="I870" s="3"/>
    </row>
    <row r="871" s="10" customFormat="1">
      <c r="A871" s="3" t="s">
        <v>1382</v>
      </c>
      <c r="B871" s="3" t="s">
        <v>108</v>
      </c>
      <c r="C871" s="3"/>
      <c r="D871" s="3"/>
      <c r="E871" s="3"/>
      <c r="F871" s="3"/>
      <c r="G871" s="3"/>
      <c r="H871" s="3"/>
      <c r="I871" s="3"/>
    </row>
    <row r="872" s="10" customFormat="1">
      <c r="A872" s="3" t="s">
        <v>1383</v>
      </c>
      <c r="B872" s="3" t="s">
        <v>1384</v>
      </c>
      <c r="C872" s="3"/>
      <c r="D872" s="3"/>
      <c r="E872" s="3"/>
      <c r="F872" s="3"/>
      <c r="G872" s="3"/>
      <c r="H872" s="3"/>
      <c r="I872" s="3"/>
    </row>
    <row r="873" s="10" customFormat="1">
      <c r="A873" s="3" t="s">
        <v>1385</v>
      </c>
      <c r="B873" s="3" t="s">
        <v>1384</v>
      </c>
      <c r="C873" s="3"/>
      <c r="D873" s="3"/>
      <c r="E873" s="3"/>
      <c r="F873" s="3"/>
      <c r="G873" s="3"/>
      <c r="H873" s="3"/>
      <c r="I873" s="3"/>
    </row>
    <row r="874" s="10" customFormat="1">
      <c r="A874" s="3" t="s">
        <v>1386</v>
      </c>
      <c r="B874" s="3" t="s">
        <v>1384</v>
      </c>
      <c r="C874" s="3"/>
      <c r="D874" s="3"/>
      <c r="E874" s="3"/>
      <c r="F874" s="3"/>
      <c r="G874" s="3"/>
      <c r="H874" s="3"/>
      <c r="I874" s="3"/>
    </row>
    <row r="875" s="10" customFormat="1">
      <c r="A875" s="3" t="s">
        <v>1387</v>
      </c>
      <c r="B875" s="3" t="s">
        <v>1384</v>
      </c>
      <c r="C875" s="3" t="s">
        <v>1326</v>
      </c>
      <c r="D875" s="3" t="s">
        <v>1333</v>
      </c>
      <c r="E875" s="3" t="s">
        <v>21</v>
      </c>
      <c r="F875" s="3" t="s">
        <v>22</v>
      </c>
      <c r="G875" s="3" t="s">
        <v>23</v>
      </c>
      <c r="H875" s="3" t="s">
        <v>24</v>
      </c>
      <c r="I875" s="3" t="s">
        <v>25</v>
      </c>
    </row>
    <row r="876" s="10" customFormat="1">
      <c r="A876" s="3" t="s">
        <v>1388</v>
      </c>
      <c r="B876" s="3" t="s">
        <v>1389</v>
      </c>
      <c r="C876" s="3"/>
      <c r="D876" s="3"/>
      <c r="E876" s="3"/>
      <c r="F876" s="3"/>
      <c r="G876" s="3"/>
      <c r="H876" s="3"/>
      <c r="I876" s="3"/>
    </row>
    <row r="877" s="10" customFormat="1">
      <c r="A877" s="3" t="s">
        <v>1390</v>
      </c>
      <c r="B877" s="3" t="s">
        <v>1389</v>
      </c>
      <c r="C877" s="3"/>
      <c r="D877" s="3"/>
      <c r="E877" s="3"/>
      <c r="F877" s="3"/>
      <c r="G877" s="3"/>
      <c r="H877" s="3"/>
      <c r="I877" s="3"/>
    </row>
    <row r="878" s="10" customFormat="1">
      <c r="A878" s="3" t="s">
        <v>1391</v>
      </c>
      <c r="B878" s="3" t="s">
        <v>1389</v>
      </c>
      <c r="C878" s="3"/>
      <c r="D878" s="3"/>
      <c r="E878" s="3"/>
      <c r="F878" s="3"/>
      <c r="G878" s="3"/>
      <c r="H878" s="3"/>
      <c r="I878" s="3"/>
    </row>
    <row r="879" s="10" customFormat="1">
      <c r="A879" s="3" t="s">
        <v>1392</v>
      </c>
      <c r="B879" s="3" t="s">
        <v>1389</v>
      </c>
      <c r="C879" s="3" t="s">
        <v>1326</v>
      </c>
      <c r="D879" s="3" t="s">
        <v>1333</v>
      </c>
      <c r="E879" s="3" t="s">
        <v>21</v>
      </c>
      <c r="F879" s="3" t="s">
        <v>22</v>
      </c>
      <c r="G879" s="3" t="s">
        <v>23</v>
      </c>
      <c r="H879" s="3" t="s">
        <v>24</v>
      </c>
      <c r="I879" s="3" t="s">
        <v>25</v>
      </c>
    </row>
    <row r="880" s="10" customFormat="1">
      <c r="A880" s="3" t="s">
        <v>1393</v>
      </c>
      <c r="B880" s="3" t="s">
        <v>1394</v>
      </c>
      <c r="C880" s="3"/>
      <c r="D880" s="3"/>
      <c r="E880" s="3"/>
      <c r="F880" s="3"/>
      <c r="G880" s="3"/>
      <c r="H880" s="3"/>
      <c r="I880" s="3"/>
    </row>
    <row r="881" s="10" customFormat="1">
      <c r="A881" s="3" t="s">
        <v>1395</v>
      </c>
      <c r="B881" s="3" t="s">
        <v>1396</v>
      </c>
      <c r="C881" s="3"/>
      <c r="D881" s="3"/>
      <c r="E881" s="3"/>
      <c r="F881" s="3"/>
      <c r="G881" s="3"/>
      <c r="H881" s="3"/>
      <c r="I881" s="3"/>
    </row>
    <row r="882" s="10" customFormat="1">
      <c r="A882" s="3" t="s">
        <v>1397</v>
      </c>
      <c r="B882" s="3" t="s">
        <v>1398</v>
      </c>
      <c r="C882" s="3"/>
      <c r="D882" s="3"/>
      <c r="E882" s="3"/>
      <c r="F882" s="3"/>
      <c r="G882" s="3"/>
      <c r="H882" s="3"/>
      <c r="I882" s="3"/>
    </row>
    <row r="883" s="10" customFormat="1">
      <c r="A883" s="3" t="s">
        <v>1399</v>
      </c>
      <c r="B883" s="3" t="s">
        <v>1398</v>
      </c>
      <c r="C883" s="3"/>
      <c r="D883" s="3"/>
      <c r="E883" s="3"/>
      <c r="F883" s="3"/>
      <c r="G883" s="3"/>
      <c r="H883" s="3"/>
      <c r="I883" s="3"/>
    </row>
    <row r="884" s="10" customFormat="1">
      <c r="A884" s="3" t="s">
        <v>1400</v>
      </c>
      <c r="B884" s="3" t="s">
        <v>1401</v>
      </c>
      <c r="C884" s="3"/>
      <c r="D884" s="3"/>
      <c r="E884" s="3"/>
      <c r="F884" s="3"/>
      <c r="G884" s="3"/>
      <c r="H884" s="3"/>
      <c r="I884" s="3"/>
    </row>
    <row r="885" s="10" customFormat="1">
      <c r="A885" s="3" t="s">
        <v>1402</v>
      </c>
      <c r="B885" s="3" t="s">
        <v>1401</v>
      </c>
      <c r="C885" s="3"/>
      <c r="D885" s="3"/>
      <c r="E885" s="3"/>
      <c r="F885" s="3"/>
      <c r="G885" s="3"/>
      <c r="H885" s="3"/>
      <c r="I885" s="3"/>
    </row>
    <row r="886" s="10" customFormat="1">
      <c r="A886" s="3" t="s">
        <v>1403</v>
      </c>
      <c r="B886" s="3" t="s">
        <v>1401</v>
      </c>
      <c r="C886" s="3" t="s">
        <v>1404</v>
      </c>
      <c r="D886" s="3" t="s">
        <v>1398</v>
      </c>
      <c r="E886" s="3" t="s">
        <v>1405</v>
      </c>
      <c r="F886" s="3" t="s">
        <v>22</v>
      </c>
      <c r="G886" s="3" t="s">
        <v>23</v>
      </c>
      <c r="H886" s="3" t="s">
        <v>24</v>
      </c>
      <c r="I886" s="3" t="s">
        <v>25</v>
      </c>
    </row>
  </sheetData>
  <mergeCells count="6">
    <mergeCell ref="A6:I6"/>
    <mergeCell ref="A1:I1"/>
    <mergeCell ref="A2:I2"/>
    <mergeCell ref="A3:I3"/>
    <mergeCell ref="A4:I4"/>
    <mergeCell ref="A5:I5"/>
  </mergeCells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Pardo</dc:creator>
  <cp:lastModifiedBy>LUIS PARDO</cp:lastModifiedBy>
  <dcterms:created xsi:type="dcterms:W3CDTF">2024-12-04T17:17:12Z</dcterms:created>
  <dcterms:modified xsi:type="dcterms:W3CDTF">2026-01-12T03:07:15Z</dcterms:modified>
</cp:coreProperties>
</file>